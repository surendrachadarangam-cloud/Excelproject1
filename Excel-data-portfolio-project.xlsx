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d.docs.live.net/382f0ad07dc5b6e5/Desktop/Data Analysis/Excel/"/>
    </mc:Choice>
  </mc:AlternateContent>
  <xr:revisionPtr revIDLastSave="1" documentId="8_{C89CE55F-8E5B-453C-A09B-F1B7211B150B}" xr6:coauthVersionLast="47" xr6:coauthVersionMax="47" xr10:uidLastSave="{10D60A55-9C73-4F57-8FB0-A50E87F902EB}"/>
  <bookViews>
    <workbookView xWindow="-120" yWindow="-120" windowWidth="20730" windowHeight="11160" xr2:uid="{26D4546B-D2A1-4444-8EAF-A6228F96F0C1}"/>
  </bookViews>
  <sheets>
    <sheet name="Customer center Report" sheetId="5" r:id="rId1"/>
    <sheet name="pivots" sheetId="6" r:id="rId2"/>
    <sheet name="Data" sheetId="2" r:id="rId3"/>
    <sheet name="Assets" sheetId="4" r:id="rId4"/>
  </sheets>
  <definedNames>
    <definedName name="_xlnm._FilterDatabase" localSheetId="2"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27" r:id="rId9"/>
    <pivotCache cacheId="30" r:id="rId10"/>
    <pivotCache cacheId="33" r:id="rId11"/>
    <pivotCache cacheId="36" r:id="rId12"/>
    <pivotCache cacheId="3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6" i="6" l="1"/>
  <c r="B121" i="6" s="1"/>
  <c r="B125" i="6" s="1"/>
  <c r="N32" i="5" s="1"/>
  <c r="B114" i="6"/>
  <c r="B119" i="6" s="1"/>
  <c r="B124" i="6" s="1"/>
  <c r="N31" i="5" s="1"/>
  <c r="B112" i="6"/>
  <c r="B123" i="6" s="1"/>
  <c r="N30" i="5" s="1"/>
  <c r="R19" i="5" a="1"/>
  <c r="R19" i="5" s="1"/>
  <c r="Q20" i="5" a="1"/>
  <c r="Q20" i="5" s="1"/>
  <c r="H42" i="6"/>
  <c r="E45" i="6" a="1"/>
  <c r="E45"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6" i="6" l="1"/>
  <c r="H48" i="6"/>
  <c r="I49" i="6"/>
  <c r="H47" i="6"/>
  <c r="I48" i="6"/>
  <c r="H45" i="6"/>
  <c r="H46" i="6"/>
  <c r="I47" i="6"/>
  <c r="H49" i="6"/>
  <c r="I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F237F8-F5A4-413A-834A-A5FF1ACABC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EFCCBAC-D004-4268-9B3F-7B8930BCF04B}"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255D1AF3-8A5F-4753-BD32-7974F89ADF0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<sst xmlns="http://schemas.openxmlformats.org/spreadsheetml/2006/main" count="3170" uniqueCount="1082">
  <si>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</si>
  <si>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</si>
  <si>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</si>
  <si>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</si>
  <si>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</si>
  <si>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</si>
  <si>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</si>
  <si>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</si>
  <si>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</si>
  <si>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</si>
  <si>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</si>
  <si>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</si>
  <si>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</si>
  <si>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</si>
  <si>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</si>
  <si>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</si>
  <si>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</si>
  <si>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</si>
  <si>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</si>
  <si>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</si>
  <si>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</si>
  <si>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</si>
  <si>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</si>
  <si>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</si>
  <si>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</si>
  <si>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</si>
  <si>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</si>
  <si>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</si>
  <si>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</si>
  <si>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</si>
  <si>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</si>
  <si>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</si>
  <si>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</si>
  <si>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</si>
  <si>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</si>
  <si>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</si>
  <si>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</si>
  <si>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</si>
  <si>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</si>
  <si>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</si>
  <si>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</si>
  <si>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</si>
  <si>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</si>
  <si>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</si>
  <si>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</si>
  <si>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</si>
  <si>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</si>
  <si>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</si>
  <si>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</si>
  <si>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</si>
  <si>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</si>
  <si>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</si>
  <si>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</si>
  <si>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</si>
  <si>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</si>
  <si>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</si>
  <si>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</si>
  <si>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</si>
  <si>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</si>
  <si>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</si>
  <si>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</si>
  <si>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</si>
  <si>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</si>
  <si>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</si>
  <si>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</si>
  <si>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</si>
  <si>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</si>
  <si>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</si>
  <si>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</si>
  <si>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</si>
  <si>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</si>
  <si>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</si>
  <si>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</si>
  <si>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</si>
  <si>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</si>
  <si>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</si>
  <si>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</si>
  <si>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</si>
  <si>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</si>
  <si>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</si>
  <si>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</si>
  <si>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</si>
  <si>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</si>
  <si>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</si>
  <si>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</si>
  <si>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</si>
  <si>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</si>
  <si>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</si>
  <si>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</si>
  <si>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</si>
  <si>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</si>
  <si>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</si>
  <si>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</si>
  <si>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</si>
  <si>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</si>
  <si>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</si>
  <si>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</si>
  <si>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</si>
  <si>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</si>
  <si>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</si>
  <si>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</si>
  <si>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</si>
  <si>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</si>
  <si>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</si>
  <si>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</si>
  <si>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</si>
  <si>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</si>
  <si>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</si>
  <si>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</si>
  <si>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</si>
  <si>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</si>
  <si>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</si>
  <si>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</si>
  <si>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</si>
  <si>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</si>
  <si>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</si>
  <si>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</si>
  <si>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</si>
  <si>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</si>
  <si>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</si>
  <si>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</si>
  <si>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</si>
  <si>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</si>
  <si>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</si>
  <si>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</si>
  <si>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</si>
  <si>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</si>
  <si>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</si>
  <si>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</si>
  <si>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</si>
  <si>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</si>
  <si>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</si>
  <si>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</si>
  <si>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</si>
  <si>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</si>
  <si>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</si>
  <si>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</si>
  <si>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</si>
  <si>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</si>
  <si>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</si>
  <si>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</si>
  <si>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</si>
  <si>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</si>
  <si>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</si>
  <si>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</si>
  <si>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</si>
  <si>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</si>
  <si>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</si>
  <si>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</si>
  <si>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</si>
  <si>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</si>
  <si>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</si>
  <si>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</si>
  <si>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</si>
  <si>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</si>
  <si>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</si>
  <si>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</si>
  <si>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</si>
  <si>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</si>
  <si>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</si>
  <si>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</si>
  <si>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</si>
  <si>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</si>
  <si>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</si>
  <si>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</si>
  <si>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</si>
  <si>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</si>
  <si>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</si>
  <si>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</si>
  <si>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</si>
  <si>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</si>
  <si>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</si>
  <si>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</si>
  <si>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</si>
  <si>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</si>
  <si>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</si>
  <si>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</si>
  <si>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</si>
  <si>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</si>
  <si>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</si>
  <si>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</si>
  <si>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</si>
  <si>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</si>
  <si>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</si>
  <si>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</si>
  <si>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</si>
  <si>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</si>
  <si>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</si>
  <si>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</si>
  <si>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</si>
  <si>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</si>
  <si>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</si>
  <si>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</si>
  <si>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</si>
  <si>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</si>
  <si>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</si>
  <si>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</si>
  <si>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</si>
  <si>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</si>
  <si>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</si>
  <si>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</si>
  <si>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</si>
  <si>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</si>
  <si>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</si>
  <si>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</si>
  <si>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</si>
  <si>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</si>
  <si>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</si>
  <si>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</si>
  <si>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</si>
  <si>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</si>
  <si>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</si>
  <si>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</si>
  <si>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</si>
  <si>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</si>
  <si>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</si>
  <si>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</si>
  <si>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</si>
  <si>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</si>
  <si>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</si>
  <si>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</si>
  <si>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</si>
  <si>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</si>
  <si>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</si>
  <si>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</si>
  <si>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</si>
  <si>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</si>
  <si>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</si>
  <si>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</si>
  <si>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</si>
  <si>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</si>
  <si>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</si>
  <si>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</si>
  <si>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</si>
  <si>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</si>
  <si>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</si>
  <si>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</si>
  <si>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</si>
  <si>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</si>
  <si>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</si>
  <si>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</si>
  <si>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</si>
  <si>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</si>
  <si>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</si>
  <si>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</si>
  <si>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</si>
  <si>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</si>
  <si>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</si>
  <si>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</si>
  <si>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</si>
  <si>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</si>
  <si>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</si>
  <si>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</si>
  <si>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</si>
  <si>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</si>
  <si>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</si>
  <si>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</si>
  <si>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</si>
  <si>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</si>
  <si>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</si>
  <si>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</si>
  <si>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</si>
  <si>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</si>
  <si>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</si>
  <si>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</si>
  <si>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</si>
  <si>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</si>
  <si>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</si>
  <si>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</si>
  <si>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</si>
  <si>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</si>
  <si>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</si>
  <si>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</si>
  <si>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</si>
  <si>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</si>
  <si>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</si>
  <si>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</si>
  <si>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</si>
  <si>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</si>
  <si>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</si>
  <si>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</si>
  <si>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</si>
  <si>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</si>
  <si>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</si>
  <si>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</si>
  <si>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</si>
  <si>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</si>
  <si>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</si>
  <si>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</si>
  <si>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</si>
  <si>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</si>
  <si>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</si>
  <si>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</si>
  <si>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</si>
  <si>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</si>
  <si>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</si>
  <si>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</si>
  <si>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</si>
  <si>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</si>
  <si>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</si>
  <si>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</si>
  <si>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</si>
  <si>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</si>
  <si>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</si>
  <si>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</si>
  <si>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</si>
  <si>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</si>
  <si>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</si>
  <si>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</si>
  <si>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</si>
  <si>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</si>
  <si>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</si>
  <si>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</si>
  <si>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</si>
  <si>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</si>
  <si>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</si>
  <si>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</si>
  <si>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</si>
  <si>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</si>
  <si>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</si>
  <si>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</si>
  <si>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</si>
  <si>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</si>
  <si>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</si>
  <si>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</si>
  <si>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</si>
  <si>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</si>
  <si>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</si>
  <si>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</si>
  <si>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</si>
  <si>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</si>
  <si>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</si>
  <si>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</si>
  <si>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</si>
  <si>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</si>
  <si>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</si>
  <si>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</si>
  <si>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</si>
  <si>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</si>
  <si>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</si>
  <si>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</si>
  <si>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</si>
  <si>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</si>
  <si>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</si>
  <si>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</si>
  <si>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</si>
  <si>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</si>
  <si>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</si>
  <si>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</si>
  <si>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</si>
  <si>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</si>
  <si>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</si>
  <si>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</si>
  <si>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</si>
  <si>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</si>
  <si>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</si>
  <si>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</si>
  <si>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</si>
  <si>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</si>
  <si>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</si>
  <si>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</si>
  <si>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</si>
  <si>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</si>
  <si>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</si>
  <si>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</si>
  <si>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</si>
  <si>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</si>
  <si>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</si>
  <si>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</si>
  <si>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</si>
  <si>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</si>
  <si>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</si>
  <si>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</si>
  <si>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</si>
  <si>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</si>
  <si>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</si>
  <si>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</si>
  <si>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</si>
  <si>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</si>
  <si>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</si>
  <si>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</si>
  <si>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</si>
  <si>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</si>
  <si>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</si>
  <si>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</si>
  <si>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</si>
  <si>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</si>
  <si>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</si>
  <si>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</si>
  <si>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</si>
  <si>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</si>
  <si>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</si>
  <si>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</si>
  <si>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</si>
  <si>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</si>
  <si>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</si>
  <si>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</si>
  <si>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</si>
  <si>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</si>
  <si>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</si>
  <si>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</si>
  <si>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</si>
  <si>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</si>
  <si>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</si>
  <si>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</si>
  <si>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</si>
  <si>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</si>
  <si>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</si>
  <si>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</si>
  <si>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</si>
  <si>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</si>
  <si>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</si>
  <si>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</si>
  <si>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</si>
  <si>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</si>
  <si>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</si>
  <si>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</si>
  <si>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</si>
  <si>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</si>
  <si>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</si>
  <si>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</si>
  <si>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</si>
  <si>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</si>
  <si>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</si>
  <si>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</si>
  <si>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</si>
  <si>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</si>
  <si>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</si>
  <si>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</si>
  <si>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</si>
  <si>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</si>
  <si>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</si>
  <si>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</si>
  <si>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</si>
  <si>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</si>
  <si>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</si>
  <si>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</si>
  <si>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</si>
  <si>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</si>
  <si>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</si>
  <si>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</si>
  <si>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</si>
  <si>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</si>
  <si>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</si>
  <si>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</si>
  <si>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</si>
  <si>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</si>
  <si>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</si>
  <si>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</si>
  <si>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</si>
  <si>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</si>
  <si>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</si>
  <si>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</si>
  <si>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</si>
  <si>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</si>
  <si>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</si>
  <si>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</si>
  <si>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</si>
  <si>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</si>
  <si>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</si>
  <si>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</si>
  <si>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</si>
  <si>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</si>
  <si>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</si>
  <si>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</si>
  <si>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</si>
  <si>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</si>
  <si>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</si>
  <si>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</si>
  <si>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</si>
  <si>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</si>
  <si>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</si>
  <si>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</si>
  <si>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</si>
  <si>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</si>
  <si>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</si>
  <si>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</si>
  <si>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</si>
  <si>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</si>
  <si>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</si>
  <si>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</si>
  <si>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</si>
  <si>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</si>
  <si>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</si>
  <si>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</si>
  <si>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</si>
  <si>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</si>
  <si>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</si>
  <si>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</si>
  <si>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</si>
  <si>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</si>
  <si>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</si>
  <si>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</si>
  <si>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</si>
  <si>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</si>
  <si>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</si>
  <si>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</si>
  <si>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</si>
  <si>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</si>
  <si>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</si>
  <si>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</si>
  <si>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</si>
  <si>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</si>
  <si>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</si>
  <si>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</si>
  <si>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</si>
  <si>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</si>
  <si>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</si>
  <si>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</si>
  <si>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</si>
  <si>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</si>
  <si>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</si>
  <si>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</si>
  <si>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</si>
  <si>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</si>
  <si>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</si>
  <si>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</si>
  <si>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</si>
  <si>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</si>
  <si>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</si>
  <si>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</si>
  <si>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</si>
  <si>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</si>
  <si>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</si>
  <si>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</si>
  <si>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</si>
  <si>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</si>
  <si>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</si>
  <si>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</si>
  <si>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</si>
  <si>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</si>
  <si>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</si>
  <si>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</si>
  <si>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</si>
  <si>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</si>
  <si>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</si>
  <si>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</si>
  <si>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</si>
  <si>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</si>
  <si>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</si>
  <si>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</si>
  <si>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</si>
  <si>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</si>
  <si>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</si>
  <si>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</si>
  <si>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</si>
  <si>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</si>
  <si>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</si>
  <si>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</si>
  <si>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</si>
  <si>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</si>
  <si>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</si>
  <si>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</si>
  <si>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</si>
  <si>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</si>
  <si>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</si>
  <si>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</si>
  <si>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</si>
  <si>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</si>
  <si>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</si>
  <si>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</si>
  <si>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</si>
  <si>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</si>
  <si>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</si>
  <si>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</si>
  <si>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</si>
  <si>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</si>
  <si>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</si>
  <si>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</si>
  <si>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</si>
  <si>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</si>
  <si>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</si>
  <si>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</si>
  <si>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</si>
  <si>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</si>
  <si>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</si>
  <si>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</si>
  <si>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</si>
  <si>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</si>
  <si>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</si>
  <si>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</si>
  <si>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</si>
  <si>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</si>
  <si>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</si>
  <si>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</si>
  <si>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</si>
  <si>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</si>
  <si>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</si>
  <si>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</si>
  <si>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</si>
  <si>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</si>
  <si>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</si>
  <si>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</si>
  <si>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</si>
  <si>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</si>
  <si>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</si>
  <si>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</si>
  <si>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</si>
  <si>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</si>
  <si>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</si>
  <si>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</si>
  <si>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</si>
  <si>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</si>
  <si>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</si>
  <si>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</si>
  <si>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</si>
  <si>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</si>
  <si>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</si>
  <si>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</si>
  <si>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</si>
  <si>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</si>
  <si>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</si>
  <si>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</si>
  <si>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</si>
  <si>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</si>
  <si>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</si>
  <si>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</si>
  <si>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</si>
  <si>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</si>
  <si>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</si>
  <si>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</si>
  <si>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</si>
  <si>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</si>
  <si>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</si>
  <si>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</si>
  <si>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</si>
  <si>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</si>
  <si>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</si>
  <si>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</si>
  <si>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</si>
  <si>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</si>
  <si>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</si>
  <si>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</si>
  <si>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</si>
  <si>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</si>
  <si>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</si>
  <si>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</si>
  <si>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</si>
  <si>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</si>
  <si>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</si>
  <si>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</si>
  <si>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</si>
  <si>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</si>
  <si>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</si>
  <si>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</si>
  <si>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</si>
  <si>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</si>
  <si>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</si>
  <si>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</si>
  <si>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</si>
  <si>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</si>
  <si>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</si>
  <si>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</si>
  <si>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</si>
  <si>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</si>
  <si>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</si>
  <si>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</si>
  <si>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</si>
  <si>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</si>
  <si>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</si>
  <si>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</si>
  <si>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</si>
  <si>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</si>
  <si>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</si>
  <si>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</si>
  <si>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</si>
  <si>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</si>
  <si>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</si>
  <si>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</si>
  <si>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</si>
  <si>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</si>
  <si>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</si>
  <si>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</si>
  <si>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</si>
  <si>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</si>
  <si>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</si>
  <si>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</si>
  <si>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</si>
  <si>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</si>
  <si>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</si>
  <si>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</si>
  <si>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</si>
  <si>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</si>
  <si>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</si>
  <si>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</si>
  <si>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</si>
  <si>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</si>
  <si>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</si>
  <si>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</si>
  <si>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</si>
  <si>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</si>
  <si>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</si>
  <si>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</si>
  <si>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</si>
  <si>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</si>
  <si>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</si>
  <si>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</si>
  <si>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</si>
  <si>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</si>
  <si>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</si>
  <si>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</si>
  <si>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</si>
  <si>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</si>
  <si>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</si>
  <si>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</si>
  <si>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</si>
  <si>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</si>
  <si>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</si>
  <si>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</si>
  <si>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</si>
  <si>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</si>
  <si>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</si>
  <si>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</si>
  <si>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</si>
  <si>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</si>
  <si>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</si>
  <si>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</si>
  <si>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</si>
  <si>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</si>
  <si>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</si>
  <si>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</si>
  <si>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</si>
  <si>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</si>
  <si>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</si>
  <si>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</si>
  <si>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</si>
  <si>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</si>
  <si>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</si>
  <si>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</si>
  <si>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</si>
  <si>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</si>
  <si>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</si>
  <si>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</si>
  <si>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</si>
  <si>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</si>
  <si>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</si>
  <si>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</si>
  <si>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</si>
  <si>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</si>
  <si>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</si>
  <si>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</si>
  <si>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</si>
  <si>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</si>
  <si>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</si>
  <si>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</si>
  <si>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</si>
  <si>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</si>
  <si>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</si>
  <si>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</si>
  <si>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</si>
  <si>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</si>
  <si>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</si>
  <si>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</si>
  <si>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</si>
  <si>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</si>
  <si>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</si>
  <si>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</si>
  <si>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</si>
  <si>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</si>
  <si>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</si>
  <si>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</si>
  <si>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</si>
  <si>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</si>
  <si>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</si>
  <si>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</si>
  <si>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</si>
  <si>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</si>
  <si>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</si>
  <si>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</si>
  <si>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</si>
  <si>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</si>
  <si>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</si>
  <si>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</si>
  <si>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</si>
  <si>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</si>
  <si>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</si>
  <si>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</si>
  <si>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</si>
  <si>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</si>
  <si>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</si>
  <si>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</si>
  <si>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</si>
  <si>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</si>
  <si>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</si>
  <si>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</si>
  <si>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</si>
  <si>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</si>
  <si>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</si>
  <si>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</si>
  <si>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</si>
  <si>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</si>
  <si>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</si>
  <si>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</si>
  <si>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</si>
  <si>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</si>
  <si>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</si>
  <si>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</si>
  <si>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</si>
  <si>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</si>
  <si>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</si>
  <si>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</si>
  <si>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</si>
  <si>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</si>
  <si>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</si>
  <si>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</si>
  <si>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</si>
  <si>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</si>
  <si>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</si>
  <si>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</si>
  <si>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</si>
  <si>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</si>
  <si>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</si>
  <si>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</si>
  <si>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</si>
  <si>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</si>
  <si>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</si>
  <si>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</si>
  <si>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</si>
  <si>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</si>
  <si>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</si>
  <si>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</si>
  <si>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</si>
  <si>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</si>
  <si>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</si>
  <si>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</si>
  <si>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</si>
  <si>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</si>
  <si>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</si>
  <si>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</si>
  <si>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</si>
  <si>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</si>
  <si>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</si>
  <si>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</si>
  <si>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</si>
  <si>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</si>
  <si>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</si>
  <si>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</si>
  <si>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</si>
  <si>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</si>
  <si>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</si>
  <si>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</si>
  <si>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</si>
  <si>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</si>
  <si>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</si>
  <si>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</si>
  <si>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</si>
  <si>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</si>
  <si>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</si>
  <si>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</si>
  <si>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</si>
  <si>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</si>
  <si>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</si>
  <si>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</si>
  <si>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</si>
  <si>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</si>
  <si>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</si>
  <si>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</si>
  <si>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</si>
  <si>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</si>
  <si>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</si>
  <si>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</si>
  <si>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</si>
  <si>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</si>
  <si>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</si>
  <si>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</si>
  <si>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</si>
  <si>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</si>
  <si>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</si>
  <si>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</si>
  <si>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</si>
  <si>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</si>
  <si>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</si>
  <si>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</si>
  <si>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</si>
  <si>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</si>
  <si>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</si>
  <si>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</si>
  <si>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</si>
  <si>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</si>
  <si>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</si>
  <si>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</si>
  <si>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</si>
  <si>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</si>
  <si>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</si>
  <si>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</si>
  <si>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</si>
  <si>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</si>
  <si>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</si>
  <si>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</si>
  <si>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</si>
  <si>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</si>
  <si>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</si>
  <si>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</si>
  <si>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</si>
  <si>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</si>
  <si>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</si>
  <si>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</si>
  <si>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</si>
  <si>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</si>
  <si>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</si>
  <si>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</si>
  <si>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</si>
  <si>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</si>
  <si>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</si>
  <si>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</si>
  <si>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</si>
  <si>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</si>
  <si>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</si>
  <si>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</si>
  <si>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</si>
  <si>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</si>
  <si>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</si>
  <si>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</si>
  <si>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</si>
  <si>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</si>
  <si>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</si>
  <si>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</si>
  <si>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</si>
  <si>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</si>
  <si>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</si>
  <si>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</si>
  <si>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</si>
  <si>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</si>
  <si>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</si>
  <si>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</si>
  <si>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</si>
  <si>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</si>
  <si>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</si>
  <si>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</si>
  <si>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</si>
  <si>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</si>
  <si>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</si>
  <si>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</si>
  <si>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</si>
  <si>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</si>
  <si>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</si>
  <si>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</si>
  <si>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</si>
  <si>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</si>
  <si>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</si>
  <si>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</si>
  <si>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</si>
  <si>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</si>
  <si>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</si>
  <si>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</si>
  <si>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</si>
  <si>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</si>
  <si>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</si>
  <si>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</si>
  <si>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</si>
  <si>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</si>
  <si>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</si>
  <si>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</si>
  <si>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</si>
  <si>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</si>
  <si>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</si>
  <si>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</si>
  <si>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</si>
  <si>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</si>
  <si>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</si>
  <si>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</si>
  <si>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</si>
  <si>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</si>
  <si>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</si>
  <si>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</si>
  <si>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</si>
  <si>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</si>
  <si>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</si>
  <si>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</si>
  <si>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</si>
  <si>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</si>
  <si>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</si>
  <si>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</si>
  <si>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</si>
  <si>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</si>
  <si>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</si>
  <si>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</si>
  <si>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</si>
  <si>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</si>
  <si>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</si>
  <si>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</si>
  <si>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</si>
  <si>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</si>
  <si>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</si>
  <si>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</si>
  <si>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</si>
  <si>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</si>
  <si>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</si>
  <si>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</si>
  <si>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</si>
  <si>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</si>
  <si>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</si>
  <si>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</si>
  <si>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</si>
  <si>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</si>
  <si>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</si>
  <si>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</si>
  <si>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</si>
  <si>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</si>
  <si>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</si>
  <si>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</si>
  <si>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</si>
  <si>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</si>
  <si>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</si>
  <si>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</si>
  <si>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</si>
  <si>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</si>
  <si>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</si>
  <si>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</si>
  <si>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</si>
  <si>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</si>
  <si>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</si>
  <si>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</si>
  <si>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</si>
  <si>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</si>
  <si>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</si>
  <si>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</si>
  <si>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</si>
  <si>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</si>
  <si>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</si>
  <si>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</si>
  <si>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</si>
  <si>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</si>
  <si>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</si>
  <si>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</si>
  <si>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</si>
  <si>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</si>
  <si>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</si>
  <si>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</si>
  <si>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</si>
  <si>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</si>
  <si>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</si>
  <si>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</si>
  <si>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</si>
  <si>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</si>
  <si>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</si>
  <si>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</si>
  <si>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</si>
  <si>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</si>
  <si>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</si>
  <si>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</si>
  <si>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</si>
  <si>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</si>
  <si>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</si>
  <si>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</si>
  <si>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</si>
  <si>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 * Calls</t>
  </si>
  <si>
    <t>Column Labels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</si>
  <si>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</si>
  <si>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</si>
  <si>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</si>
  <si>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</si>
  <si>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</si>
  <si>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</si>
  <si>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</si>
  <si>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</si>
  <si>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</si>
  <si>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</si>
  <si>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</si>
  <si>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</si>
  <si>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</si>
  <si>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</si>
  <si>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</si>
  <si>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</si>
  <si>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</si>
  <si>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</si>
  <si>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</si>
  <si>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</si>
  <si>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</si>
  <si>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</si>
  <si>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</si>
  <si>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</si>
  <si>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Calls</t>
  </si>
  <si>
    <t>Amount</t>
  </si>
  <si>
    <t xml:space="preserve">Sell Calls </t>
  </si>
  <si>
    <t>Sel. Amount</t>
  </si>
  <si>
    <t>Selected rep</t>
  </si>
  <si>
    <t>Rep summary</t>
  </si>
  <si>
    <t>% of calls</t>
  </si>
  <si>
    <t>Call rank</t>
  </si>
  <si>
    <t>Amount rank</t>
  </si>
  <si>
    <t>CALL CENTER REPORT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</si>
</sst>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 #,##0;[Red]&quot;₹&quot;\ \-#,##0"/>
    <numFmt numFmtId="164" formatCode="[$-409]d\-mmm\-yy;@"/>
    <numFmt numFmtId="165" formatCode="&quot;₹&quot;\ #,##0;#,##0\ \-&quot;₹&quot;;&quot;₹&quot;\ #,##0"/>
    <numFmt numFmtId="166" formatCode="0.0"/>
    <numFmt numFmtId="167" formatCode="&quot;₹&quot;\ #,##0;#,##0\ \-&quot;₹&quot;;&quot;₹&quot;\ #,##0"/>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2"/>
      <color theme="1"/>
      <name val="Aptos"/>
      <family val="2"/>
      <scheme val="minor"/>
    </font>
    <font>
      <b/>
      <sz val="12"/>
      <color theme="1"/>
      <name val="Aptos"/>
      <family val="2"/>
      <scheme val="minor"/>
    </font>
    <font>
      <sz val="16"/>
      <color theme="1"/>
      <name val="Aptos"/>
      <family val="2"/>
      <scheme val="minor"/>
    </font>
    <font>
      <b/>
      <sz val="24"/>
      <color rgb="FF00B050"/>
      <name val="Aptos"/>
      <family val="2"/>
      <scheme val="minor"/>
    </font>
    <font>
      <b/>
      <sz val="11"/>
      <color rgb="FF00B050"/>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3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6" fontId="0" fillId="0" borderId="0" xfId="0" applyNumberFormat="1"/>
    <xf numFmtId="0" fontId="0" fillId="4" borderId="0" xfId="0" applyFill="1" applyAlignment="1">
      <alignment horizontal="left"/>
    </xf>
    <xf numFmtId="0" fontId="5" fillId="3" borderId="0" xfId="0" applyFont="1" applyFill="1"/>
    <xf numFmtId="0" fontId="5" fillId="3" borderId="0" xfId="0" applyFont="1" applyFill="1" applyAlignment="1">
      <alignment horizontal="left" indent="1"/>
    </xf>
    <xf numFmtId="6" fontId="5" fillId="3" borderId="0" xfId="0" applyNumberFormat="1" applyFont="1" applyFill="1"/>
    <xf numFmtId="0" fontId="6" fillId="3" borderId="0" xfId="0" applyFont="1" applyFill="1"/>
    <xf numFmtId="9" fontId="0" fillId="0" borderId="0" xfId="1" applyFont="1"/>
    <xf numFmtId="0" fontId="7" fillId="4" borderId="0" xfId="0" applyFont="1" applyFill="1"/>
    <xf numFmtId="0" fontId="0" fillId="4" borderId="0" xfId="0" applyFill="1"/>
    <xf numFmtId="0" fontId="8" fillId="3" borderId="0" xfId="0" applyFont="1" applyFill="1" applyAlignment="1">
      <alignment horizontal="left"/>
    </xf>
    <xf numFmtId="0" fontId="9" fillId="3" borderId="0" xfId="0" applyFont="1" applyFill="1"/>
    <xf numFmtId="167" fontId="0" fillId="0" borderId="0" xfId="0" applyNumberFormat="1"/>
  </cellXfs>
  <cellStyles count="2">
    <cellStyle name="Normal" xfId="0" builtinId="0"/>
    <cellStyle name="Percent" xfId="1" builtinId="5"/>
  </cellStyles>
  <dxfs count="24">
    <dxf>
      <fill>
        <patternFill patternType="solid">
          <bgColor rgb="FFC00000"/>
        </patternFill>
      </fill>
    </dxf>
    <dxf>
      <fill>
        <patternFill>
          <bgColor rgb="FF92D050"/>
        </patternFill>
      </fill>
    </dxf>
    <dxf>
      <fill>
        <patternFill patternType="solid">
          <bgColor rgb="FFC00000"/>
        </patternFill>
      </fill>
    </dxf>
    <dxf>
      <fill>
        <patternFill>
          <bgColor rgb="FF92D050"/>
        </patternFill>
      </fill>
    </dxf>
    <dxf>
      <fill>
        <patternFill>
          <bgColor theme="7" tint="0.59996337778862885"/>
        </patternFill>
      </fill>
      <border>
        <vertical/>
        <horizontal/>
      </border>
    </dxf>
    <dxf>
      <fill>
        <patternFill>
          <bgColor theme="7" tint="0.39994506668294322"/>
        </patternFill>
      </fill>
    </dxf>
    <dxf>
      <fill>
        <patternFill>
          <bgColor theme="7" tint="0.59996337778862885"/>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bgColor rgb="FF92D050"/>
        </patternFill>
      </fill>
    </dxf>
    <dxf>
      <fill>
        <patternFill patternType="solid">
          <bgColor rgb="FFC00000"/>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3"/>
    </tableStyle>
  </tableStyles>
  <colors>
    <mruColors>
      <color rgb="FFFFC7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[Excel-data-portfolio-project.xlsx]pivots!Monthly trend</c:name>
    <c:fmtId val="7"/>
  </c:pivotSource>
  <c:chart>
    <c:title>
      <c:layout>
        <c:manualLayout>
          <c:xMode val="edge"/>
          <c:yMode val="edge"/>
          <c:x val="2.152777777777777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solidFill>
            <a:round/>
          </a:ln>
          <a:effectLst/>
        </c:spPr>
        <c:marker>
          <c:symbol val="circle"/>
          <c:size val="7"/>
          <c:spPr>
            <a:solidFill>
              <a:schemeClr val="bg1"/>
            </a:solidFill>
            <a:ln w="1905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4"/>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solidFill>
            <a:round/>
          </a:ln>
          <a:effectLst/>
        </c:spPr>
        <c:marker>
          <c:symbol val="circle"/>
          <c:size val="7"/>
          <c:spPr>
            <a:solidFill>
              <a:schemeClr val="bg1"/>
            </a:solidFill>
            <a:ln w="1905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7"/>
          <c:spPr>
            <a:solidFill>
              <a:schemeClr val="bg1"/>
            </a:solidFill>
            <a:ln w="1905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pivots!$C$18</c:f>
              <c:strCache>
                <c:ptCount val="1"/>
                <c:pt idx="0">
                  <c:v>Call count2</c:v>
                </c:pt>
              </c:strCache>
            </c:strRef>
          </c:tx>
          <c:spPr>
            <a:gradFill>
              <a:gsLst>
                <a:gs pos="0">
                  <a:schemeClr val="accent4"/>
                </a:gs>
                <a:gs pos="100000">
                  <a:schemeClr val="accent4">
                    <a:lumMod val="20000"/>
                    <a:lumOff val="80000"/>
                  </a:schemeClr>
                </a:gs>
              </a:gsLst>
              <a:lin ang="5400000" scaled="1"/>
            </a:gradFill>
            <a:ln>
              <a:noFill/>
            </a:ln>
            <a:effectLst/>
          </c:spP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pivots!$C$19:$C$31</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3FB3-4F13-87A9-6B4920E454FB}"/>
            </c:ext>
          </c:extLst>
        </c:ser>
        <c:dLbls>
          <c:showLegendKey val="0"/>
          <c:showVal val="0"/>
          <c:showCatName val="0"/>
          <c:showSerName val="0"/>
          <c:showPercent val="0"/>
          <c:showBubbleSize val="0"/>
        </c:dLbls>
        <c:axId val="2131848799"/>
        <c:axId val="2131847839"/>
      </c:areaChart>
      <c:lineChart>
        <c:grouping val="standard"/>
        <c:varyColors val="0"/>
        <c:ser>
          <c:idx val="0"/>
          <c:order val="0"/>
          <c:tx>
            <c:strRef>
              <c:f>pivots!$B$18</c:f>
              <c:strCache>
                <c:ptCount val="1"/>
                <c:pt idx="0">
                  <c:v>Call count</c:v>
                </c:pt>
              </c:strCache>
            </c:strRef>
          </c:tx>
          <c:spPr>
            <a:ln w="28575" cap="rnd">
              <a:solidFill>
                <a:schemeClr val="accent4"/>
              </a:solidFill>
              <a:round/>
            </a:ln>
            <a:effectLst/>
          </c:spPr>
          <c:marker>
            <c:symbol val="circle"/>
            <c:size val="7"/>
            <c:spPr>
              <a:solidFill>
                <a:schemeClr val="bg1"/>
              </a:solidFill>
              <a:ln w="19050">
                <a:solidFill>
                  <a:schemeClr val="tx1">
                    <a:lumMod val="95000"/>
                    <a:lumOff val="5000"/>
                  </a:schemeClr>
                </a:solidFill>
              </a:ln>
              <a:effectLst/>
            </c:spPr>
          </c:marke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pivots!$B$19:$B$31</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3FB3-4F13-87A9-6B4920E454FB}"/>
            </c:ext>
          </c:extLst>
        </c:ser>
        <c:dLbls>
          <c:showLegendKey val="0"/>
          <c:showVal val="0"/>
          <c:showCatName val="0"/>
          <c:showSerName val="0"/>
          <c:showPercent val="0"/>
          <c:showBubbleSize val="0"/>
        </c:dLbls>
        <c:marker val="1"/>
        <c:smooth val="0"/>
        <c:axId val="2131848799"/>
        <c:axId val="2131847839"/>
      </c:lineChart>
      <c:catAx>
        <c:axId val="213184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847839"/>
        <c:crosses val="autoZero"/>
        <c:auto val="1"/>
        <c:lblAlgn val="ctr"/>
        <c:lblOffset val="100"/>
        <c:noMultiLvlLbl val="0"/>
      </c:catAx>
      <c:valAx>
        <c:axId val="2131847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84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[Excel-data-portfolio-project.xlsx]pivots!Week day trend</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pivots!$M$18</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pivots!$L$19:$L$26</c:f>
              <c:strCache>
                <c:ptCount val="7"/>
                <c:pt idx="0">
                  <c:v>Monday</c:v>
                </c:pt>
                <c:pt idx="1">
                  <c:v>Tuesday</c:v>
                </c:pt>
                <c:pt idx="2">
                  <c:v>Wednesday</c:v>
                </c:pt>
                <c:pt idx="3">
                  <c:v>Thursday</c:v>
                </c:pt>
                <c:pt idx="4">
                  <c:v>Friday</c:v>
                </c:pt>
                <c:pt idx="5">
                  <c:v>Saturday</c:v>
                </c:pt>
                <c:pt idx="6">
                  <c:v>Sunday</c:v>
                </c:pt>
              </c:strCache>
            </c:strRef>
          </c:cat>
          <c:val>
            <c:numRef>
              <c:f>pivots!$M$19:$M$26</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A945-4E67-98AB-ACF56A829B74}"/>
            </c:ext>
          </c:extLst>
        </c:ser>
        <c:dLbls>
          <c:showLegendKey val="0"/>
          <c:showVal val="1"/>
          <c:showCatName val="0"/>
          <c:showSerName val="0"/>
          <c:showPercent val="0"/>
          <c:showBubbleSize val="0"/>
        </c:dLbls>
        <c:gapWidth val="65"/>
        <c:shape val="box"/>
        <c:axId val="2131818079"/>
        <c:axId val="2131815199"/>
        <c:axId val="0"/>
      </c:bar3DChart>
      <c:catAx>
        <c:axId val="2131818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1815199"/>
        <c:crosses val="autoZero"/>
        <c:auto val="1"/>
        <c:lblAlgn val="ctr"/>
        <c:lblOffset val="100"/>
        <c:noMultiLvlLbl val="0"/>
      </c:catAx>
      <c:valAx>
        <c:axId val="21318151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181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0" baseline="0">
                <a:solidFill>
                  <a:srgbClr val="FFC715"/>
                </a:solidFill>
                <a:latin typeface="+mn-lt"/>
                <a:ea typeface="+mn-ea"/>
                <a:cs typeface="+mn-cs"/>
              </a:defRPr>
            </a:pPr>
            <a:r>
              <a:rPr lang="en-IN" sz="1600" b="1">
                <a:solidFill>
                  <a:srgbClr val="FFC715"/>
                </a:solidFill>
              </a:rPr>
              <a:t>Calls</a:t>
            </a:r>
          </a:p>
        </c:rich>
      </c:tx>
      <c:layout>
        <c:manualLayout>
          <c:xMode val="edge"/>
          <c:yMode val="edge"/>
          <c:x val="3.4347041849751986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C715"/>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pivots!$E$45:$E$49</c:f>
              <c:strCache>
                <c:ptCount val="5"/>
                <c:pt idx="0">
                  <c:v>R01</c:v>
                </c:pt>
                <c:pt idx="1">
                  <c:v>R02</c:v>
                </c:pt>
                <c:pt idx="2">
                  <c:v>R03</c:v>
                </c:pt>
                <c:pt idx="3">
                  <c:v>R04</c:v>
                </c:pt>
                <c:pt idx="4">
                  <c:v>R05</c:v>
                </c:pt>
              </c:strCache>
            </c:strRef>
          </c:cat>
          <c:val>
            <c:numRef>
              <c:f>pivots!$F$45:$F$49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894-424C-B680-8341331B1973}"/>
            </c:ext>
          </c:extLst>
        </c:ser>
        <c:ser>
          <c:idx val="1"/>
          <c:order val="1"/>
          <c:tx>
            <c:strRef>
              <c:f>pivots!$H$44</c:f>
              <c:strCache>
                <c:ptCount val="1"/>
                <c:pt idx="0">
                  <c:v>Sell Calls </c:v>
                </c:pt>
              </c:strCache>
            </c:strRef>
          </c:tx>
          <c:spPr>
            <a:gradFill flip="none" rotWithShape="1">
              <a:gsLst>
                <a:gs pos="0">
                  <a:schemeClr val="accent4">
                    <a:lumMod val="40000"/>
                    <a:lumOff val="60000"/>
                  </a:schemeClr>
                </a:gs>
                <a:gs pos="100000">
                  <a:schemeClr val="accent4"/>
                </a:gs>
              </a:gsLst>
              <a:lin ang="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val>
            <c:numRef>
              <c:f>pivots!$H$45:$H$49</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4894-424C-B680-8341331B1973}"/>
            </c:ext>
          </c:extLst>
        </c:ser>
        <c:dLbls>
          <c:showLegendKey val="0"/>
          <c:showVal val="0"/>
          <c:showCatName val="0"/>
          <c:showSerName val="0"/>
          <c:showPercent val="0"/>
          <c:showBubbleSize val="0"/>
        </c:dLbls>
        <c:gapWidth val="25"/>
        <c:overlap val="100"/>
        <c:axId val="2131844959"/>
        <c:axId val="2131849279"/>
      </c:barChart>
      <c:catAx>
        <c:axId val="21318449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849279"/>
        <c:crosses val="autoZero"/>
        <c:auto val="1"/>
        <c:lblAlgn val="ctr"/>
        <c:lblOffset val="100"/>
        <c:noMultiLvlLbl val="0"/>
      </c:catAx>
      <c:valAx>
        <c:axId val="2131849279"/>
        <c:scaling>
          <c:orientation val="minMax"/>
          <c:min val="0"/>
        </c:scaling>
        <c:delete val="1"/>
        <c:axPos val="t"/>
        <c:numFmt formatCode="General" sourceLinked="1"/>
        <c:majorTickMark val="none"/>
        <c:minorTickMark val="none"/>
        <c:tickLblPos val="nextTo"/>
        <c:crossAx val="213184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IN" sz="1600" b="1">
                <a:solidFill>
                  <a:srgbClr val="FF0000"/>
                </a:solidFill>
              </a:rPr>
              <a:t>Amount</a:t>
            </a:r>
          </a:p>
        </c:rich>
      </c:tx>
      <c:layout>
        <c:manualLayout>
          <c:xMode val="edge"/>
          <c:yMode val="edge"/>
          <c:x val="2.6271939766321625E-2"/>
          <c:y val="3.21285198618582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pivots!$E$45:$E$49</c:f>
              <c:strCache>
                <c:ptCount val="5"/>
                <c:pt idx="0">
                  <c:v>R01</c:v>
                </c:pt>
                <c:pt idx="1">
                  <c:v>R02</c:v>
                </c:pt>
                <c:pt idx="2">
                  <c:v>R03</c:v>
                </c:pt>
                <c:pt idx="3">
                  <c:v>R04</c:v>
                </c:pt>
                <c:pt idx="4">
                  <c:v>R05</c:v>
                </c:pt>
              </c:strCache>
            </c:strRef>
          </c:cat>
          <c:val>
            <c:numRef>
              <c:f>pivots!$G$45:$G$49</c:f>
              <c:numCache>
                <c:formatCode>"₹"#,##0_);[Red]\("₹"#,##0\)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222-4C66-8ABE-94C83B419AAE}"/>
            </c:ext>
          </c:extLst>
        </c:ser>
        <c:ser>
          <c:idx val="1"/>
          <c:order val="1"/>
          <c:tx>
            <c:strRef>
              <c:f>pivots!$I$44</c:f>
              <c:strCache>
                <c:ptCount val="1"/>
                <c:pt idx="0">
                  <c:v>Sel. Amount</c:v>
                </c:pt>
              </c:strCache>
            </c:strRef>
          </c:tx>
          <c:spPr>
            <a:gradFill>
              <a:gsLst>
                <a:gs pos="0">
                  <a:schemeClr val="accent2">
                    <a:lumMod val="40000"/>
                    <a:lumOff val="60000"/>
                  </a:schemeClr>
                </a:gs>
                <a:gs pos="100000">
                  <a:srgbClr val="FF0000"/>
                </a:gs>
              </a:gsLst>
              <a:lin ang="0" scaled="1"/>
            </a:gradFill>
            <a:ln>
              <a:noFill/>
            </a:ln>
            <a:effectLst/>
          </c:spPr>
          <c:invertIfNegative val="0"/>
          <c:dPt>
            <c:idx val="1"/>
            <c:invertIfNegative val="0"/>
            <c:bubble3D val="0"/>
            <c:spPr>
              <a:gradFill>
                <a:gsLst>
                  <a:gs pos="0">
                    <a:schemeClr val="accent2">
                      <a:lumMod val="40000"/>
                      <a:lumOff val="60000"/>
                    </a:schemeClr>
                  </a:gs>
                  <a:gs pos="100000">
                    <a:srgbClr val="FF0000"/>
                  </a:gs>
                </a:gsLst>
                <a:lin ang="0" scaled="1"/>
              </a:gradFill>
              <a:ln>
                <a:noFill/>
              </a:ln>
              <a:effectLst/>
            </c:spPr>
            <c:extLst>
              <c:ext xmlns:c16="http://schemas.microsoft.com/office/drawing/2014/chart" uri="{C3380CC4-5D6E-409C-BE32-E72D297353CC}">
                <c16:uniqueId val="{00000002-2222-4C66-8ABE-94C83B419AAE}"/>
              </c:ext>
            </c:extLst>
          </c:dPt>
          <c:dLbls>
            <c:delete val="1"/>
          </c:dLbls>
          <c:val>
            <c:numRef>
              <c:f>pivots!$I$45:$I$49</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2222-4C66-8ABE-94C83B419AAE}"/>
            </c:ext>
          </c:extLst>
        </c:ser>
        <c:dLbls>
          <c:dLblPos val="outEnd"/>
          <c:showLegendKey val="0"/>
          <c:showVal val="1"/>
          <c:showCatName val="0"/>
          <c:showSerName val="0"/>
          <c:showPercent val="0"/>
          <c:showBubbleSize val="0"/>
        </c:dLbls>
        <c:gapWidth val="25"/>
        <c:overlap val="100"/>
        <c:axId val="2131842559"/>
        <c:axId val="2131843999"/>
      </c:barChart>
      <c:catAx>
        <c:axId val="2131842559"/>
        <c:scaling>
          <c:orientation val="maxMin"/>
        </c:scaling>
        <c:delete val="1"/>
        <c:axPos val="l"/>
        <c:numFmt formatCode="General" sourceLinked="1"/>
        <c:majorTickMark val="none"/>
        <c:minorTickMark val="none"/>
        <c:tickLblPos val="nextTo"/>
        <c:crossAx val="2131843999"/>
        <c:crosses val="autoZero"/>
        <c:auto val="1"/>
        <c:lblAlgn val="ctr"/>
        <c:lblOffset val="100"/>
        <c:noMultiLvlLbl val="0"/>
      </c:catAx>
      <c:valAx>
        <c:axId val="2131843999"/>
        <c:scaling>
          <c:orientation val="minMax"/>
        </c:scaling>
        <c:delete val="1"/>
        <c:axPos val="t"/>
        <c:numFmt formatCode="&quot;₹&quot;#,##0_);[Red]\(&quot;₹&quot;#,##0\)" sourceLinked="1"/>
        <c:majorTickMark val="none"/>
        <c:minorTickMark val="none"/>
        <c:tickLblPos val="nextTo"/>
        <c:crossAx val="213184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[Excel-data-portfolio-project.xlsx]pivots!PivotTable8</c:name>
    <c:fmtId val="5"/>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IN" sz="1600"/>
              <a:t> </a:t>
            </a:r>
            <a:r>
              <a:rPr lang="en-IN" sz="1600">
                <a:solidFill>
                  <a:srgbClr val="00B0F0"/>
                </a:solidFill>
              </a:rPr>
              <a:t>Male</a:t>
            </a:r>
            <a:r>
              <a:rPr lang="en-IN" sz="1600" baseline="0"/>
              <a:t> vs. </a:t>
            </a:r>
            <a:r>
              <a:rPr lang="en-IN" sz="1600" baseline="0">
                <a:solidFill>
                  <a:srgbClr val="00B050"/>
                </a:solidFill>
              </a:rPr>
              <a:t>Female</a:t>
            </a:r>
            <a:r>
              <a:rPr lang="en-IN" sz="1600" baseline="0"/>
              <a:t> Callers</a:t>
            </a:r>
            <a:endParaRPr lang="en-IN" sz="1600"/>
          </a:p>
        </c:rich>
      </c:tx>
      <c:layout>
        <c:manualLayout>
          <c:xMode val="edge"/>
          <c:yMode val="edge"/>
          <c:x val="0.17232200705705936"/>
          <c:y val="0.8932857484566555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pivotFmt>
      <c:pivotFmt>
        <c:idx val="1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31688722125011E-2"/>
          <c:y val="1.7542109285148086E-2"/>
          <c:w val="0.91103976805229592"/>
          <c:h val="0.81049040062888467"/>
        </c:manualLayout>
      </c:layout>
      <c:bar3DChart>
        <c:barDir val="col"/>
        <c:grouping val="clustered"/>
        <c:varyColors val="0"/>
        <c:ser>
          <c:idx val="0"/>
          <c:order val="0"/>
          <c:tx>
            <c:strRef>
              <c:f>pivots!$B$68:$B$69</c:f>
              <c:strCache>
                <c:ptCount val="1"/>
                <c:pt idx="0">
                  <c:v>Female</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pivots!$A$70:$A$73</c:f>
              <c:strCache>
                <c:ptCount val="3"/>
                <c:pt idx="0">
                  <c:v>Cincinnati</c:v>
                </c:pt>
                <c:pt idx="1">
                  <c:v>Cleveland</c:v>
                </c:pt>
                <c:pt idx="2">
                  <c:v>Columbus</c:v>
                </c:pt>
              </c:strCache>
            </c:strRef>
          </c:cat>
          <c:val>
            <c:numRef>
              <c:f>pivots!$B$70:$B$73</c:f>
              <c:numCache>
                <c:formatCode>#,##0</c:formatCode>
                <c:ptCount val="3"/>
                <c:pt idx="0">
                  <c:v>144</c:v>
                </c:pt>
                <c:pt idx="1">
                  <c:v>326</c:v>
                </c:pt>
                <c:pt idx="2">
                  <c:v>129</c:v>
                </c:pt>
              </c:numCache>
            </c:numRef>
          </c:val>
          <c:extLst>
            <c:ext xmlns:c16="http://schemas.microsoft.com/office/drawing/2014/chart" uri="{C3380CC4-5D6E-409C-BE32-E72D297353CC}">
              <c16:uniqueId val="{00000000-B373-4A72-9F27-68DD0F5A8C2E}"/>
            </c:ext>
          </c:extLst>
        </c:ser>
        <c:ser>
          <c:idx val="1"/>
          <c:order val="1"/>
          <c:tx>
            <c:strRef>
              <c:f>pivots!$C$68:$C$69</c:f>
              <c:strCache>
                <c:ptCount val="1"/>
                <c:pt idx="0">
                  <c:v>Male</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pivots!$A$70:$A$73</c:f>
              <c:strCache>
                <c:ptCount val="3"/>
                <c:pt idx="0">
                  <c:v>Cincinnati</c:v>
                </c:pt>
                <c:pt idx="1">
                  <c:v>Cleveland</c:v>
                </c:pt>
                <c:pt idx="2">
                  <c:v>Columbus</c:v>
                </c:pt>
              </c:strCache>
            </c:strRef>
          </c:cat>
          <c:val>
            <c:numRef>
              <c:f>pivots!$C$70:$C$73</c:f>
              <c:numCache>
                <c:formatCode>#,##0</c:formatCode>
                <c:ptCount val="3"/>
                <c:pt idx="0">
                  <c:v>132</c:v>
                </c:pt>
                <c:pt idx="1">
                  <c:v>63</c:v>
                </c:pt>
                <c:pt idx="2">
                  <c:v>206</c:v>
                </c:pt>
              </c:numCache>
            </c:numRef>
          </c:val>
          <c:extLst>
            <c:ext xmlns:c16="http://schemas.microsoft.com/office/drawing/2014/chart" uri="{C3380CC4-5D6E-409C-BE32-E72D297353CC}">
              <c16:uniqueId val="{00000001-B373-4A72-9F27-68DD0F5A8C2E}"/>
            </c:ext>
          </c:extLst>
        </c:ser>
        <c:dLbls>
          <c:showLegendKey val="0"/>
          <c:showVal val="1"/>
          <c:showCatName val="0"/>
          <c:showSerName val="0"/>
          <c:showPercent val="0"/>
          <c:showBubbleSize val="0"/>
        </c:dLbls>
        <c:gapWidth val="65"/>
        <c:shape val="box"/>
        <c:axId val="2131796479"/>
        <c:axId val="2131799359"/>
        <c:axId val="0"/>
      </c:bar3DChart>
      <c:catAx>
        <c:axId val="213179647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1799359"/>
        <c:crosses val="autoZero"/>
        <c:auto val="1"/>
        <c:lblAlgn val="ctr"/>
        <c:lblOffset val="100"/>
        <c:noMultiLvlLbl val="0"/>
      </c:catAx>
      <c:valAx>
        <c:axId val="213179935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1796479"/>
        <c:crosses val="autoZero"/>
        <c:crossBetween val="between"/>
      </c:valAx>
      <c:spPr>
        <a:noFill/>
        <a:ln>
          <a:noFill/>
        </a:ln>
        <a:effectLst/>
      </c:spPr>
    </c:plotArea>
    <c:legend>
      <c:legendPos val="r"/>
      <c:layout>
        <c:manualLayout>
          <c:xMode val="edge"/>
          <c:yMode val="edge"/>
          <c:x val="0.66063314287073471"/>
          <c:y val="3.985713413829689E-2"/>
          <c:w val="0.16896748562167435"/>
          <c:h val="0.225080483820641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[Excel-data-portfolio-project.xlsx]pivots!rep Satisfaction</c:name>
    <c:fmtId val="33"/>
  </c:pivotSource>
  <c:chart>
    <c:title>
      <c:tx>
        <c:rich>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r>
              <a:rPr lang="en-IN" b="1" u="none">
                <a:solidFill>
                  <a:schemeClr val="accent2"/>
                </a:solidFill>
              </a:rPr>
              <a:t>Rating</a:t>
            </a:r>
          </a:p>
        </c:rich>
      </c:tx>
      <c:layout>
        <c:manualLayout>
          <c:xMode val="edge"/>
          <c:yMode val="edge"/>
          <c:x val="5.2971996386630527E-2"/>
          <c:y val="0.1434943009746159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453477868112014E-2"/>
          <c:y val="0.10153625901657398"/>
          <c:w val="0.98554652213188798"/>
          <c:h val="0.7473931318025806"/>
        </c:manualLayout>
      </c:layout>
      <c:bar3DChart>
        <c:barDir val="col"/>
        <c:grouping val="clustered"/>
        <c:varyColors val="0"/>
        <c:ser>
          <c:idx val="0"/>
          <c:order val="0"/>
          <c:tx>
            <c:strRef>
              <c:f>pivots!$B$75:$B$76</c:f>
              <c:strCache>
                <c:ptCount val="1"/>
                <c:pt idx="0">
                  <c:v>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pivots!$A$77</c:f>
              <c:strCache>
                <c:ptCount val="1"/>
                <c:pt idx="0">
                  <c:v>Total</c:v>
                </c:pt>
              </c:strCache>
            </c:strRef>
          </c:cat>
          <c:val>
            <c:numRef>
              <c:f>pivots!$B$77</c:f>
              <c:numCache>
                <c:formatCode>#,##0</c:formatCode>
                <c:ptCount val="1"/>
                <c:pt idx="0">
                  <c:v>1</c:v>
                </c:pt>
              </c:numCache>
            </c:numRef>
          </c:val>
          <c:shape val="cylinder"/>
          <c:extLst>
            <c:ext xmlns:c16="http://schemas.microsoft.com/office/drawing/2014/chart" uri="{C3380CC4-5D6E-409C-BE32-E72D297353CC}">
              <c16:uniqueId val="{00000000-CA00-497C-AAD8-889C4CE11ABE}"/>
            </c:ext>
          </c:extLst>
        </c:ser>
        <c:ser>
          <c:idx val="1"/>
          <c:order val="1"/>
          <c:tx>
            <c:strRef>
              <c:f>pivots!$C$75:$C$76</c:f>
              <c:strCache>
                <c:ptCount val="1"/>
                <c:pt idx="0">
                  <c:v>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pivots!$A$77</c:f>
              <c:strCache>
                <c:ptCount val="1"/>
                <c:pt idx="0">
                  <c:v>Total</c:v>
                </c:pt>
              </c:strCache>
            </c:strRef>
          </c:cat>
          <c:val>
            <c:numRef>
              <c:f>pivots!$C$77</c:f>
              <c:numCache>
                <c:formatCode>#,##0</c:formatCode>
                <c:ptCount val="1"/>
                <c:pt idx="0">
                  <c:v>9</c:v>
                </c:pt>
              </c:numCache>
            </c:numRef>
          </c:val>
          <c:extLst>
            <c:ext xmlns:c16="http://schemas.microsoft.com/office/drawing/2014/chart" uri="{C3380CC4-5D6E-409C-BE32-E72D297353CC}">
              <c16:uniqueId val="{0000000A-CA00-497C-AAD8-889C4CE11ABE}"/>
            </c:ext>
          </c:extLst>
        </c:ser>
        <c:ser>
          <c:idx val="2"/>
          <c:order val="2"/>
          <c:tx>
            <c:strRef>
              <c:f>pivots!$D$75:$D$76</c:f>
              <c:strCache>
                <c:ptCount val="1"/>
                <c:pt idx="0">
                  <c:v>3</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pivots!$A$77</c:f>
              <c:strCache>
                <c:ptCount val="1"/>
                <c:pt idx="0">
                  <c:v>Total</c:v>
                </c:pt>
              </c:strCache>
            </c:strRef>
          </c:cat>
          <c:val>
            <c:numRef>
              <c:f>pivots!$D$77</c:f>
              <c:numCache>
                <c:formatCode>#,##0</c:formatCode>
                <c:ptCount val="1"/>
                <c:pt idx="0">
                  <c:v>31</c:v>
                </c:pt>
              </c:numCache>
            </c:numRef>
          </c:val>
          <c:extLst>
            <c:ext xmlns:c16="http://schemas.microsoft.com/office/drawing/2014/chart" uri="{C3380CC4-5D6E-409C-BE32-E72D297353CC}">
              <c16:uniqueId val="{0000000B-CA00-497C-AAD8-889C4CE11ABE}"/>
            </c:ext>
          </c:extLst>
        </c:ser>
        <c:ser>
          <c:idx val="3"/>
          <c:order val="3"/>
          <c:tx>
            <c:strRef>
              <c:f>pivots!$E$75:$E$76</c:f>
              <c:strCache>
                <c:ptCount val="1"/>
                <c:pt idx="0">
                  <c:v>4</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pivots!$A$77</c:f>
              <c:strCache>
                <c:ptCount val="1"/>
                <c:pt idx="0">
                  <c:v>Total</c:v>
                </c:pt>
              </c:strCache>
            </c:strRef>
          </c:cat>
          <c:val>
            <c:numRef>
              <c:f>pivots!$E$77</c:f>
              <c:numCache>
                <c:formatCode>#,##0</c:formatCode>
                <c:ptCount val="1"/>
                <c:pt idx="0">
                  <c:v>88</c:v>
                </c:pt>
              </c:numCache>
            </c:numRef>
          </c:val>
          <c:extLst>
            <c:ext xmlns:c16="http://schemas.microsoft.com/office/drawing/2014/chart" uri="{C3380CC4-5D6E-409C-BE32-E72D297353CC}">
              <c16:uniqueId val="{0000000C-CA00-497C-AAD8-889C4CE11ABE}"/>
            </c:ext>
          </c:extLst>
        </c:ser>
        <c:ser>
          <c:idx val="4"/>
          <c:order val="4"/>
          <c:tx>
            <c:strRef>
              <c:f>pivots!$F$75:$F$76</c:f>
              <c:strCache>
                <c:ptCount val="1"/>
                <c:pt idx="0">
                  <c:v>5</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pivots!$A$77</c:f>
              <c:strCache>
                <c:ptCount val="1"/>
                <c:pt idx="0">
                  <c:v>Total</c:v>
                </c:pt>
              </c:strCache>
            </c:strRef>
          </c:cat>
          <c:val>
            <c:numRef>
              <c:f>pivots!$F$77</c:f>
              <c:numCache>
                <c:formatCode>#,##0</c:formatCode>
                <c:ptCount val="1"/>
                <c:pt idx="0">
                  <c:v>60</c:v>
                </c:pt>
              </c:numCache>
            </c:numRef>
          </c:val>
          <c:extLst>
            <c:ext xmlns:c16="http://schemas.microsoft.com/office/drawing/2014/chart" uri="{C3380CC4-5D6E-409C-BE32-E72D297353CC}">
              <c16:uniqueId val="{00000020-CA00-497C-AAD8-889C4CE11ABE}"/>
            </c:ext>
          </c:extLst>
        </c:ser>
        <c:dLbls>
          <c:showLegendKey val="0"/>
          <c:showVal val="1"/>
          <c:showCatName val="0"/>
          <c:showSerName val="0"/>
          <c:showPercent val="0"/>
          <c:showBubbleSize val="0"/>
        </c:dLbls>
        <c:gapWidth val="65"/>
        <c:shape val="box"/>
        <c:axId val="570631263"/>
        <c:axId val="570626463"/>
        <c:axId val="0"/>
      </c:bar3DChart>
      <c:catAx>
        <c:axId val="570631263"/>
        <c:scaling>
          <c:orientation val="minMax"/>
        </c:scaling>
        <c:delete val="1"/>
        <c:axPos val="b"/>
        <c:numFmt formatCode="General" sourceLinked="1"/>
        <c:majorTickMark val="out"/>
        <c:minorTickMark val="none"/>
        <c:tickLblPos val="nextTo"/>
        <c:crossAx val="570626463"/>
        <c:crosses val="autoZero"/>
        <c:auto val="1"/>
        <c:lblAlgn val="ctr"/>
        <c:lblOffset val="100"/>
        <c:noMultiLvlLbl val="0"/>
      </c:catAx>
      <c:valAx>
        <c:axId val="570626463"/>
        <c:scaling>
          <c:orientation val="minMax"/>
        </c:scaling>
        <c:delete val="1"/>
        <c:axPos val="l"/>
        <c:numFmt formatCode="#,##0" sourceLinked="1"/>
        <c:majorTickMark val="out"/>
        <c:minorTickMark val="none"/>
        <c:tickLblPos val="nextTo"/>
        <c:crossAx val="570631263"/>
        <c:crosses val="autoZero"/>
        <c:crossBetween val="between"/>
      </c:valAx>
      <c:spPr>
        <a:noFill/>
        <a:ln>
          <a:noFill/>
        </a:ln>
        <a:effectLst/>
      </c:spPr>
    </c:plotArea>
    <c:legend>
      <c:legendPos val="b"/>
      <c:layout>
        <c:manualLayout>
          <c:xMode val="edge"/>
          <c:yMode val="edge"/>
          <c:x val="6.2458371565342931E-2"/>
          <c:y val="0.84426738615714991"/>
          <c:w val="0.77390862727524912"/>
          <c:h val="0.1277605858708220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image" Target="../media/image8.png"/><Relationship Id="rId7" Type="http://schemas.openxmlformats.org/officeDocument/2006/relationships/image" Target="../media/image16.png"/><Relationship Id="rId12" Type="http://schemas.openxmlformats.org/officeDocument/2006/relationships/image" Target="../media/image11.sv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7.svg"/><Relationship Id="rId11" Type="http://schemas.openxmlformats.org/officeDocument/2006/relationships/image" Target="../media/image10.png"/><Relationship Id="rId5" Type="http://schemas.openxmlformats.org/officeDocument/2006/relationships/image" Target="../media/image6.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2</xdr:col>
      <xdr:colOff>0</xdr:colOff>
      <xdr:row>9</xdr:row>
      <xdr:rowOff>0</xdr:rowOff>
    </xdr:from>
    <xdr:to>
      <xdr:col>4</xdr:col>
      <xdr:colOff>47625</xdr:colOff>
      <xdr:row>14</xdr:row>
      <xdr:rowOff>0</xdr:rowOff>
    </xdr:to>
    <xdr:sp macro="" textlink="pivots!B4">
      <xdr:nvSpPr>
        <xdr:cNvPr id="7" name="Rectangle 6">
          <a:extLst>
            <a:ext uri="{FF2B5EF4-FFF2-40B4-BE49-F238E27FC236}">
              <a16:creationId xmlns:a16="http://schemas.microsoft.com/office/drawing/2014/main" id="{750C848E-ADB6-4F94-858C-09D05A94149A}"/>
            </a:ext>
          </a:extLst>
        </xdr:cNvPr>
        <xdr:cNvSpPr/>
      </xdr:nvSpPr>
      <xdr:spPr>
        <a:xfrm>
          <a:off x="276225" y="2095500"/>
          <a:ext cx="1419225" cy="95250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DD05EDE0-4C24-4CF1-B9B9-8A45FE38A393}" type="TxLink">
            <a:rPr lang="en-US" sz="2000" b="0" i="0" u="none" strike="noStrike">
              <a:solidFill>
                <a:srgbClr val="000000"/>
              </a:solidFill>
              <a:latin typeface="+mj-lt"/>
              <a:ea typeface="+mn-ea"/>
              <a:cs typeface="+mn-cs"/>
            </a:rPr>
            <a:pPr marL="0" indent="0" algn="ctr"/>
            <a:t>₹ 96,623</a:t>
          </a:fld>
          <a:endParaRPr lang="en-IN" sz="2000" b="0" i="0" u="none" strike="noStrike">
            <a:solidFill>
              <a:srgbClr val="000000"/>
            </a:solidFill>
            <a:latin typeface="+mj-lt"/>
            <a:ea typeface="+mn-ea"/>
            <a:cs typeface="+mn-cs"/>
          </a:endParaRPr>
        </a:p>
      </xdr:txBody>
    </xdr:sp>
    <xdr:clientData/>
  </xdr:twoCellAnchor>
  <xdr:twoCellAnchor>
    <xdr:from>
      <xdr:col>2</xdr:col>
      <xdr:colOff>209550</xdr:colOff>
      <xdr:row>9</xdr:row>
      <xdr:rowOff>66675</xdr:rowOff>
    </xdr:from>
    <xdr:to>
      <xdr:col>3</xdr:col>
      <xdr:colOff>571500</xdr:colOff>
      <xdr:row>10</xdr:row>
      <xdr:rowOff>85725</xdr:rowOff>
    </xdr:to>
    <xdr:sp macro="" textlink="">
      <xdr:nvSpPr>
        <xdr:cNvPr id="8" name="TextBox 7">
          <a:extLst>
            <a:ext uri="{FF2B5EF4-FFF2-40B4-BE49-F238E27FC236}">
              <a16:creationId xmlns:a16="http://schemas.microsoft.com/office/drawing/2014/main" id="{B3932A52-F580-4B71-94A1-A7A04A062ECE}"/>
            </a:ext>
          </a:extLst>
        </xdr:cNvPr>
        <xdr:cNvSpPr txBox="1"/>
      </xdr:nvSpPr>
      <xdr:spPr>
        <a:xfrm>
          <a:off x="485775" y="2162175"/>
          <a:ext cx="1047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Amount</a:t>
          </a:r>
          <a:endParaRPr lang="en-IN" sz="1100"/>
        </a:p>
      </xdr:txBody>
    </xdr:sp>
    <xdr:clientData/>
  </xdr:twoCellAnchor>
  <xdr:twoCellAnchor editAs="oneCell">
    <xdr:from>
      <xdr:col>2</xdr:col>
      <xdr:colOff>38100</xdr:colOff>
      <xdr:row>9</xdr:row>
      <xdr:rowOff>9525</xdr:rowOff>
    </xdr:from>
    <xdr:to>
      <xdr:col>2</xdr:col>
      <xdr:colOff>361950</xdr:colOff>
      <xdr:row>10</xdr:row>
      <xdr:rowOff>142875</xdr:rowOff>
    </xdr:to>
    <xdr:pic>
      <xdr:nvPicPr>
        <xdr:cNvPr id="9" name="Graphic 8">
          <a:extLst>
            <a:ext uri="{FF2B5EF4-FFF2-40B4-BE49-F238E27FC236}">
              <a16:creationId xmlns:a16="http://schemas.microsoft.com/office/drawing/2014/main" id="{11F188AD-020A-4E2B-9F3D-08E928CD86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14325" y="1724025"/>
          <a:ext cx="323850" cy="323850"/>
        </a:xfrm>
        <a:prstGeom prst="rect">
          <a:avLst/>
        </a:prstGeom>
      </xdr:spPr>
    </xdr:pic>
    <xdr:clientData/>
  </xdr:twoCellAnchor>
  <xdr:twoCellAnchor>
    <xdr:from>
      <xdr:col>2</xdr:col>
      <xdr:colOff>285750</xdr:colOff>
      <xdr:row>12</xdr:row>
      <xdr:rowOff>104775</xdr:rowOff>
    </xdr:from>
    <xdr:to>
      <xdr:col>3</xdr:col>
      <xdr:colOff>457200</xdr:colOff>
      <xdr:row>13</xdr:row>
      <xdr:rowOff>85725</xdr:rowOff>
    </xdr:to>
    <xdr:sp macro="" textlink="pivots!B9">
      <xdr:nvSpPr>
        <xdr:cNvPr id="10" name="TextBox 9">
          <a:extLst>
            <a:ext uri="{FF2B5EF4-FFF2-40B4-BE49-F238E27FC236}">
              <a16:creationId xmlns:a16="http://schemas.microsoft.com/office/drawing/2014/main" id="{BA29099C-B1BB-4987-B799-5D2C9DC6001E}"/>
            </a:ext>
          </a:extLst>
        </xdr:cNvPr>
        <xdr:cNvSpPr txBox="1"/>
      </xdr:nvSpPr>
      <xdr:spPr>
        <a:xfrm>
          <a:off x="561975" y="2771775"/>
          <a:ext cx="857250" cy="17145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AEAB63-B986-49A2-85F1-351A71F94849}" type="TxLink">
            <a:rPr lang="en-US" sz="1100" b="1" i="0" u="none" strike="noStrike">
              <a:ln>
                <a:noFill/>
              </a:ln>
              <a:solidFill>
                <a:srgbClr val="000000"/>
              </a:solidFill>
              <a:latin typeface="Aptos"/>
            </a:rPr>
            <a:pPr algn="ctr"/>
            <a:t>₹ 18,415</a:t>
          </a:fld>
          <a:endParaRPr lang="en-IN" sz="1200" b="1">
            <a:ln>
              <a:noFill/>
            </a:ln>
            <a:solidFill>
              <a:schemeClr val="tx1"/>
            </a:solidFill>
          </a:endParaRPr>
        </a:p>
      </xdr:txBody>
    </xdr:sp>
    <xdr:clientData/>
  </xdr:twoCellAnchor>
  <xdr:twoCellAnchor>
    <xdr:from>
      <xdr:col>2</xdr:col>
      <xdr:colOff>0</xdr:colOff>
      <xdr:row>15</xdr:row>
      <xdr:rowOff>0</xdr:rowOff>
    </xdr:from>
    <xdr:to>
      <xdr:col>4</xdr:col>
      <xdr:colOff>47625</xdr:colOff>
      <xdr:row>20</xdr:row>
      <xdr:rowOff>0</xdr:rowOff>
    </xdr:to>
    <xdr:sp macro="" textlink="pivots!C4">
      <xdr:nvSpPr>
        <xdr:cNvPr id="11" name="Rectangle 10">
          <a:extLst>
            <a:ext uri="{FF2B5EF4-FFF2-40B4-BE49-F238E27FC236}">
              <a16:creationId xmlns:a16="http://schemas.microsoft.com/office/drawing/2014/main" id="{AF68FE50-B0CB-45CA-A451-3B426A9D28E7}"/>
            </a:ext>
          </a:extLst>
        </xdr:cNvPr>
        <xdr:cNvSpPr/>
      </xdr:nvSpPr>
      <xdr:spPr>
        <a:xfrm>
          <a:off x="276225" y="3619500"/>
          <a:ext cx="1419225" cy="95250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BBF39780-03AF-4861-86AE-1EBB4228F230}" type="TxLink">
            <a:rPr lang="en-US" sz="2000" b="0" i="0" u="none" strike="noStrike">
              <a:solidFill>
                <a:srgbClr val="000000"/>
              </a:solidFill>
              <a:latin typeface="+mj-lt"/>
              <a:ea typeface="+mn-ea"/>
              <a:cs typeface="+mn-cs"/>
            </a:rPr>
            <a:pPr marL="0" indent="0" algn="ctr"/>
            <a:t>89,850</a:t>
          </a:fld>
          <a:endParaRPr lang="en-IN" sz="2000" b="0" i="0" u="none" strike="noStrike">
            <a:solidFill>
              <a:srgbClr val="000000"/>
            </a:solidFill>
            <a:latin typeface="+mj-lt"/>
            <a:ea typeface="+mn-ea"/>
            <a:cs typeface="+mn-cs"/>
          </a:endParaRPr>
        </a:p>
      </xdr:txBody>
    </xdr:sp>
    <xdr:clientData/>
  </xdr:twoCellAnchor>
  <xdr:twoCellAnchor>
    <xdr:from>
      <xdr:col>2</xdr:col>
      <xdr:colOff>209550</xdr:colOff>
      <xdr:row>15</xdr:row>
      <xdr:rowOff>66675</xdr:rowOff>
    </xdr:from>
    <xdr:to>
      <xdr:col>3</xdr:col>
      <xdr:colOff>571500</xdr:colOff>
      <xdr:row>16</xdr:row>
      <xdr:rowOff>85725</xdr:rowOff>
    </xdr:to>
    <xdr:sp macro="" textlink="">
      <xdr:nvSpPr>
        <xdr:cNvPr id="12" name="TextBox 11">
          <a:extLst>
            <a:ext uri="{FF2B5EF4-FFF2-40B4-BE49-F238E27FC236}">
              <a16:creationId xmlns:a16="http://schemas.microsoft.com/office/drawing/2014/main" id="{736BDCD1-A02E-457F-820E-4874229269A5}"/>
            </a:ext>
          </a:extLst>
        </xdr:cNvPr>
        <xdr:cNvSpPr txBox="1"/>
      </xdr:nvSpPr>
      <xdr:spPr>
        <a:xfrm>
          <a:off x="485775" y="3686175"/>
          <a:ext cx="1047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Duration</a:t>
          </a:r>
          <a:endParaRPr lang="en-IN" sz="1100"/>
        </a:p>
      </xdr:txBody>
    </xdr:sp>
    <xdr:clientData/>
  </xdr:twoCellAnchor>
  <xdr:twoCellAnchor editAs="oneCell">
    <xdr:from>
      <xdr:col>2</xdr:col>
      <xdr:colOff>38100</xdr:colOff>
      <xdr:row>15</xdr:row>
      <xdr:rowOff>9525</xdr:rowOff>
    </xdr:from>
    <xdr:to>
      <xdr:col>2</xdr:col>
      <xdr:colOff>361950</xdr:colOff>
      <xdr:row>16</xdr:row>
      <xdr:rowOff>142875</xdr:rowOff>
    </xdr:to>
    <xdr:pic>
      <xdr:nvPicPr>
        <xdr:cNvPr id="13" name="Graphic 12">
          <a:extLst>
            <a:ext uri="{FF2B5EF4-FFF2-40B4-BE49-F238E27FC236}">
              <a16:creationId xmlns:a16="http://schemas.microsoft.com/office/drawing/2014/main" id="{B5D15BA9-9B46-4AE0-89D9-D303EE06618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14325" y="2867025"/>
          <a:ext cx="323850" cy="323850"/>
        </a:xfrm>
        <a:prstGeom prst="rect">
          <a:avLst/>
        </a:prstGeom>
      </xdr:spPr>
    </xdr:pic>
    <xdr:clientData/>
  </xdr:twoCellAnchor>
  <xdr:twoCellAnchor>
    <xdr:from>
      <xdr:col>2</xdr:col>
      <xdr:colOff>285750</xdr:colOff>
      <xdr:row>18</xdr:row>
      <xdr:rowOff>104775</xdr:rowOff>
    </xdr:from>
    <xdr:to>
      <xdr:col>3</xdr:col>
      <xdr:colOff>457200</xdr:colOff>
      <xdr:row>19</xdr:row>
      <xdr:rowOff>85725</xdr:rowOff>
    </xdr:to>
    <xdr:sp macro="" textlink="pivots!C9">
      <xdr:nvSpPr>
        <xdr:cNvPr id="14" name="TextBox 13">
          <a:extLst>
            <a:ext uri="{FF2B5EF4-FFF2-40B4-BE49-F238E27FC236}">
              <a16:creationId xmlns:a16="http://schemas.microsoft.com/office/drawing/2014/main" id="{C6A3B9D3-4410-4226-9D82-E7E4C7329A81}"/>
            </a:ext>
          </a:extLst>
        </xdr:cNvPr>
        <xdr:cNvSpPr txBox="1"/>
      </xdr:nvSpPr>
      <xdr:spPr>
        <a:xfrm>
          <a:off x="561975" y="4295775"/>
          <a:ext cx="857250" cy="17145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E09E78-E571-46A5-B670-8C1F9BA20F8C}" type="TxLink">
            <a:rPr lang="en-US" sz="1100" b="1" i="0" u="none" strike="noStrike">
              <a:ln>
                <a:noFill/>
              </a:ln>
              <a:solidFill>
                <a:srgbClr val="000000"/>
              </a:solidFill>
              <a:latin typeface="Aptos"/>
            </a:rPr>
            <a:pPr algn="ctr"/>
            <a:t>16,834</a:t>
          </a:fld>
          <a:endParaRPr lang="en-IN" sz="1200" b="1">
            <a:ln>
              <a:noFill/>
            </a:ln>
            <a:solidFill>
              <a:schemeClr val="tx1"/>
            </a:solidFill>
          </a:endParaRPr>
        </a:p>
      </xdr:txBody>
    </xdr:sp>
    <xdr:clientData/>
  </xdr:twoCellAnchor>
  <xdr:twoCellAnchor>
    <xdr:from>
      <xdr:col>2</xdr:col>
      <xdr:colOff>0</xdr:colOff>
      <xdr:row>21</xdr:row>
      <xdr:rowOff>0</xdr:rowOff>
    </xdr:from>
    <xdr:to>
      <xdr:col>4</xdr:col>
      <xdr:colOff>47625</xdr:colOff>
      <xdr:row>26</xdr:row>
      <xdr:rowOff>0</xdr:rowOff>
    </xdr:to>
    <xdr:sp macro="" textlink="pivots!D4">
      <xdr:nvSpPr>
        <xdr:cNvPr id="15" name="Rectangle 14">
          <a:extLst>
            <a:ext uri="{FF2B5EF4-FFF2-40B4-BE49-F238E27FC236}">
              <a16:creationId xmlns:a16="http://schemas.microsoft.com/office/drawing/2014/main" id="{53493AF0-E113-482E-9724-FE633C47852D}"/>
            </a:ext>
          </a:extLst>
        </xdr:cNvPr>
        <xdr:cNvSpPr/>
      </xdr:nvSpPr>
      <xdr:spPr>
        <a:xfrm>
          <a:off x="276225" y="4953000"/>
          <a:ext cx="1419225" cy="95250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0773029C-42C1-4551-8EA8-C8552FBE8587}" type="TxLink">
            <a:rPr lang="en-US" sz="2000" b="0" i="0" u="none" strike="noStrike">
              <a:solidFill>
                <a:srgbClr val="000000"/>
              </a:solidFill>
              <a:latin typeface="+mj-lt"/>
              <a:ea typeface="+mn-ea"/>
              <a:cs typeface="+mn-cs"/>
            </a:rPr>
            <a:pPr marL="0" indent="0" algn="ctr"/>
            <a:t>3'9</a:t>
          </a:fld>
          <a:endParaRPr lang="en-IN" sz="2000" b="0" i="0" u="none" strike="noStrike">
            <a:solidFill>
              <a:srgbClr val="000000"/>
            </a:solidFill>
            <a:latin typeface="+mj-lt"/>
            <a:ea typeface="+mn-ea"/>
            <a:cs typeface="+mn-cs"/>
          </a:endParaRPr>
        </a:p>
      </xdr:txBody>
    </xdr:sp>
    <xdr:clientData/>
  </xdr:twoCellAnchor>
  <xdr:twoCellAnchor>
    <xdr:from>
      <xdr:col>2</xdr:col>
      <xdr:colOff>209550</xdr:colOff>
      <xdr:row>21</xdr:row>
      <xdr:rowOff>66675</xdr:rowOff>
    </xdr:from>
    <xdr:to>
      <xdr:col>3</xdr:col>
      <xdr:colOff>571500</xdr:colOff>
      <xdr:row>22</xdr:row>
      <xdr:rowOff>85725</xdr:rowOff>
    </xdr:to>
    <xdr:sp macro="" textlink="">
      <xdr:nvSpPr>
        <xdr:cNvPr id="16" name="TextBox 15">
          <a:extLst>
            <a:ext uri="{FF2B5EF4-FFF2-40B4-BE49-F238E27FC236}">
              <a16:creationId xmlns:a16="http://schemas.microsoft.com/office/drawing/2014/main" id="{678C3BC5-E75D-4230-9A0A-FFBFFA8F8D81}"/>
            </a:ext>
          </a:extLst>
        </xdr:cNvPr>
        <xdr:cNvSpPr txBox="1"/>
      </xdr:nvSpPr>
      <xdr:spPr>
        <a:xfrm>
          <a:off x="485775" y="5019675"/>
          <a:ext cx="1047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Avg,Rating</a:t>
          </a:r>
        </a:p>
      </xdr:txBody>
    </xdr:sp>
    <xdr:clientData/>
  </xdr:twoCellAnchor>
  <xdr:twoCellAnchor editAs="oneCell">
    <xdr:from>
      <xdr:col>2</xdr:col>
      <xdr:colOff>38100</xdr:colOff>
      <xdr:row>21</xdr:row>
      <xdr:rowOff>9525</xdr:rowOff>
    </xdr:from>
    <xdr:to>
      <xdr:col>2</xdr:col>
      <xdr:colOff>361950</xdr:colOff>
      <xdr:row>22</xdr:row>
      <xdr:rowOff>133350</xdr:rowOff>
    </xdr:to>
    <xdr:pic>
      <xdr:nvPicPr>
        <xdr:cNvPr id="17" name="Graphic 16">
          <a:extLst>
            <a:ext uri="{FF2B5EF4-FFF2-40B4-BE49-F238E27FC236}">
              <a16:creationId xmlns:a16="http://schemas.microsoft.com/office/drawing/2014/main" id="{1A817CEA-8C32-4822-ACFE-F2D5CCEF63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14325" y="4010025"/>
          <a:ext cx="323850" cy="323850"/>
        </a:xfrm>
        <a:prstGeom prst="rect">
          <a:avLst/>
        </a:prstGeom>
      </xdr:spPr>
    </xdr:pic>
    <xdr:clientData/>
  </xdr:twoCellAnchor>
  <xdr:twoCellAnchor>
    <xdr:from>
      <xdr:col>2</xdr:col>
      <xdr:colOff>285750</xdr:colOff>
      <xdr:row>24</xdr:row>
      <xdr:rowOff>104775</xdr:rowOff>
    </xdr:from>
    <xdr:to>
      <xdr:col>3</xdr:col>
      <xdr:colOff>457200</xdr:colOff>
      <xdr:row>25</xdr:row>
      <xdr:rowOff>85725</xdr:rowOff>
    </xdr:to>
    <xdr:sp macro="" textlink="pivots!D9">
      <xdr:nvSpPr>
        <xdr:cNvPr id="18" name="TextBox 17">
          <a:extLst>
            <a:ext uri="{FF2B5EF4-FFF2-40B4-BE49-F238E27FC236}">
              <a16:creationId xmlns:a16="http://schemas.microsoft.com/office/drawing/2014/main" id="{D1A2BD46-55BA-4465-9273-99675A786D41}"/>
            </a:ext>
          </a:extLst>
        </xdr:cNvPr>
        <xdr:cNvSpPr txBox="1"/>
      </xdr:nvSpPr>
      <xdr:spPr>
        <a:xfrm>
          <a:off x="561975" y="5629275"/>
          <a:ext cx="857250" cy="17145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EA19D6-C98F-47D7-9D0C-C0733FDFC77D}" type="TxLink">
            <a:rPr lang="en-US" sz="1100" b="1" i="0" u="none" strike="noStrike">
              <a:ln>
                <a:noFill/>
              </a:ln>
              <a:solidFill>
                <a:srgbClr val="000000"/>
              </a:solidFill>
              <a:latin typeface="Aptos"/>
            </a:rPr>
            <a:pPr algn="ctr"/>
            <a:t>3'9</a:t>
          </a:fld>
          <a:endParaRPr lang="en-IN" sz="1200" b="1">
            <a:ln>
              <a:noFill/>
            </a:ln>
            <a:solidFill>
              <a:schemeClr val="tx1"/>
            </a:solidFill>
          </a:endParaRPr>
        </a:p>
      </xdr:txBody>
    </xdr:sp>
    <xdr:clientData/>
  </xdr:twoCellAnchor>
  <xdr:twoCellAnchor>
    <xdr:from>
      <xdr:col>2</xdr:col>
      <xdr:colOff>0</xdr:colOff>
      <xdr:row>27</xdr:row>
      <xdr:rowOff>0</xdr:rowOff>
    </xdr:from>
    <xdr:to>
      <xdr:col>4</xdr:col>
      <xdr:colOff>47625</xdr:colOff>
      <xdr:row>32</xdr:row>
      <xdr:rowOff>0</xdr:rowOff>
    </xdr:to>
    <xdr:sp macro="" textlink="pivots!E4">
      <xdr:nvSpPr>
        <xdr:cNvPr id="19" name="Rectangle 18">
          <a:extLst>
            <a:ext uri="{FF2B5EF4-FFF2-40B4-BE49-F238E27FC236}">
              <a16:creationId xmlns:a16="http://schemas.microsoft.com/office/drawing/2014/main" id="{ABC3AA73-4A42-4E8F-A7AF-494A046B9225}"/>
            </a:ext>
          </a:extLst>
        </xdr:cNvPr>
        <xdr:cNvSpPr/>
      </xdr:nvSpPr>
      <xdr:spPr>
        <a:xfrm>
          <a:off x="276225" y="6096000"/>
          <a:ext cx="1419225" cy="95250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FF8C12B9-61CA-4AD7-B331-D31B00B8E352}" type="TxLink">
            <a:rPr lang="en-US" sz="2000" b="0" i="0" u="none" strike="noStrike">
              <a:solidFill>
                <a:srgbClr val="000000"/>
              </a:solidFill>
              <a:latin typeface="+mj-lt"/>
              <a:ea typeface="+mn-ea"/>
              <a:cs typeface="+mn-cs"/>
            </a:rPr>
            <a:pPr marL="0" indent="0" algn="ctr"/>
            <a:t>307</a:t>
          </a:fld>
          <a:endParaRPr lang="en-IN" sz="2000" b="0" i="0" u="none" strike="noStrike">
            <a:solidFill>
              <a:srgbClr val="000000"/>
            </a:solidFill>
            <a:latin typeface="+mj-lt"/>
            <a:ea typeface="+mn-ea"/>
            <a:cs typeface="+mn-cs"/>
          </a:endParaRPr>
        </a:p>
      </xdr:txBody>
    </xdr:sp>
    <xdr:clientData/>
  </xdr:twoCellAnchor>
  <xdr:twoCellAnchor>
    <xdr:from>
      <xdr:col>2</xdr:col>
      <xdr:colOff>257175</xdr:colOff>
      <xdr:row>27</xdr:row>
      <xdr:rowOff>76200</xdr:rowOff>
    </xdr:from>
    <xdr:to>
      <xdr:col>3</xdr:col>
      <xdr:colOff>619125</xdr:colOff>
      <xdr:row>28</xdr:row>
      <xdr:rowOff>95250</xdr:rowOff>
    </xdr:to>
    <xdr:sp macro="" textlink="">
      <xdr:nvSpPr>
        <xdr:cNvPr id="20" name="TextBox 19">
          <a:extLst>
            <a:ext uri="{FF2B5EF4-FFF2-40B4-BE49-F238E27FC236}">
              <a16:creationId xmlns:a16="http://schemas.microsoft.com/office/drawing/2014/main" id="{86865D4A-0C4B-4C75-A894-F06AE8634E7D}"/>
            </a:ext>
          </a:extLst>
        </xdr:cNvPr>
        <xdr:cNvSpPr txBox="1"/>
      </xdr:nvSpPr>
      <xdr:spPr>
        <a:xfrm>
          <a:off x="533400" y="5219700"/>
          <a:ext cx="1047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Happy Calls</a:t>
          </a:r>
          <a:endParaRPr lang="en-IN" sz="1100"/>
        </a:p>
      </xdr:txBody>
    </xdr:sp>
    <xdr:clientData/>
  </xdr:twoCellAnchor>
  <xdr:twoCellAnchor editAs="oneCell">
    <xdr:from>
      <xdr:col>2</xdr:col>
      <xdr:colOff>38100</xdr:colOff>
      <xdr:row>27</xdr:row>
      <xdr:rowOff>9525</xdr:rowOff>
    </xdr:from>
    <xdr:to>
      <xdr:col>2</xdr:col>
      <xdr:colOff>361950</xdr:colOff>
      <xdr:row>28</xdr:row>
      <xdr:rowOff>133350</xdr:rowOff>
    </xdr:to>
    <xdr:pic>
      <xdr:nvPicPr>
        <xdr:cNvPr id="21" name="Graphic 20">
          <a:extLst>
            <a:ext uri="{FF2B5EF4-FFF2-40B4-BE49-F238E27FC236}">
              <a16:creationId xmlns:a16="http://schemas.microsoft.com/office/drawing/2014/main" id="{DD8C0F0E-8025-43C0-B02F-2A202D21863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14325" y="5153025"/>
          <a:ext cx="323850" cy="323850"/>
        </a:xfrm>
        <a:prstGeom prst="rect">
          <a:avLst/>
        </a:prstGeom>
      </xdr:spPr>
    </xdr:pic>
    <xdr:clientData/>
  </xdr:twoCellAnchor>
  <xdr:twoCellAnchor>
    <xdr:from>
      <xdr:col>2</xdr:col>
      <xdr:colOff>285750</xdr:colOff>
      <xdr:row>30</xdr:row>
      <xdr:rowOff>104775</xdr:rowOff>
    </xdr:from>
    <xdr:to>
      <xdr:col>3</xdr:col>
      <xdr:colOff>457200</xdr:colOff>
      <xdr:row>31</xdr:row>
      <xdr:rowOff>85725</xdr:rowOff>
    </xdr:to>
    <xdr:sp macro="" textlink="pivots!E9">
      <xdr:nvSpPr>
        <xdr:cNvPr id="22" name="TextBox 21">
          <a:extLst>
            <a:ext uri="{FF2B5EF4-FFF2-40B4-BE49-F238E27FC236}">
              <a16:creationId xmlns:a16="http://schemas.microsoft.com/office/drawing/2014/main" id="{14A65CE4-50B7-44CD-BC5E-FC8B62F1A204}"/>
            </a:ext>
          </a:extLst>
        </xdr:cNvPr>
        <xdr:cNvSpPr txBox="1"/>
      </xdr:nvSpPr>
      <xdr:spPr>
        <a:xfrm>
          <a:off x="561975" y="6772275"/>
          <a:ext cx="857250" cy="17145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1F0971-62D3-4B9B-8D47-3EBCE33BEB17}" type="TxLink">
            <a:rPr lang="en-US" sz="1100" b="1" i="0" u="none" strike="noStrike">
              <a:ln>
                <a:noFill/>
              </a:ln>
              <a:solidFill>
                <a:srgbClr val="000000"/>
              </a:solidFill>
              <a:latin typeface="Aptos"/>
            </a:rPr>
            <a:pPr algn="ctr"/>
            <a:t>60</a:t>
          </a:fld>
          <a:endParaRPr lang="en-IN" sz="1200" b="1">
            <a:ln>
              <a:noFill/>
            </a:ln>
            <a:solidFill>
              <a:schemeClr val="tx1"/>
            </a:solidFill>
          </a:endParaRPr>
        </a:p>
      </xdr:txBody>
    </xdr:sp>
    <xdr:clientData/>
  </xdr:twoCellAnchor>
  <xdr:twoCellAnchor>
    <xdr:from>
      <xdr:col>2</xdr:col>
      <xdr:colOff>0</xdr:colOff>
      <xdr:row>3</xdr:row>
      <xdr:rowOff>0</xdr:rowOff>
    </xdr:from>
    <xdr:to>
      <xdr:col>4</xdr:col>
      <xdr:colOff>47625</xdr:colOff>
      <xdr:row>8</xdr:row>
      <xdr:rowOff>0</xdr:rowOff>
    </xdr:to>
    <xdr:sp macro="" textlink="pivots!A4">
      <xdr:nvSpPr>
        <xdr:cNvPr id="24" name="Rectangle 23">
          <a:extLst>
            <a:ext uri="{FF2B5EF4-FFF2-40B4-BE49-F238E27FC236}">
              <a16:creationId xmlns:a16="http://schemas.microsoft.com/office/drawing/2014/main" id="{6B21951B-935E-48E0-922F-D5889D9A95E9}"/>
            </a:ext>
          </a:extLst>
        </xdr:cNvPr>
        <xdr:cNvSpPr/>
      </xdr:nvSpPr>
      <xdr:spPr>
        <a:xfrm>
          <a:off x="276225" y="571500"/>
          <a:ext cx="1419225" cy="95250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1DE9BF7C-2880-4901-AE7A-E077F07B5577}" type="TxLink">
            <a:rPr lang="en-US" sz="2000" b="0" i="0" u="none" strike="noStrike">
              <a:solidFill>
                <a:srgbClr val="000000"/>
              </a:solidFill>
              <a:latin typeface="+mj-lt"/>
            </a:rPr>
            <a:pPr algn="ctr"/>
            <a:t>1,000</a:t>
          </a:fld>
          <a:endParaRPr lang="en-IN" sz="2000">
            <a:latin typeface="+mj-lt"/>
          </a:endParaRPr>
        </a:p>
      </xdr:txBody>
    </xdr:sp>
    <xdr:clientData/>
  </xdr:twoCellAnchor>
  <xdr:twoCellAnchor>
    <xdr:from>
      <xdr:col>2</xdr:col>
      <xdr:colOff>209550</xdr:colOff>
      <xdr:row>3</xdr:row>
      <xdr:rowOff>66675</xdr:rowOff>
    </xdr:from>
    <xdr:to>
      <xdr:col>3</xdr:col>
      <xdr:colOff>571500</xdr:colOff>
      <xdr:row>4</xdr:row>
      <xdr:rowOff>85725</xdr:rowOff>
    </xdr:to>
    <xdr:sp macro="" textlink="">
      <xdr:nvSpPr>
        <xdr:cNvPr id="25" name="TextBox 24">
          <a:extLst>
            <a:ext uri="{FF2B5EF4-FFF2-40B4-BE49-F238E27FC236}">
              <a16:creationId xmlns:a16="http://schemas.microsoft.com/office/drawing/2014/main" id="{1D9D899F-303E-488C-B05B-B42AB234BC70}"/>
            </a:ext>
          </a:extLst>
        </xdr:cNvPr>
        <xdr:cNvSpPr txBox="1"/>
      </xdr:nvSpPr>
      <xdr:spPr>
        <a:xfrm>
          <a:off x="485775" y="638175"/>
          <a:ext cx="1047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Calls</a:t>
          </a:r>
          <a:endParaRPr lang="en-IN" sz="1100"/>
        </a:p>
      </xdr:txBody>
    </xdr:sp>
    <xdr:clientData/>
  </xdr:twoCellAnchor>
  <xdr:twoCellAnchor editAs="oneCell">
    <xdr:from>
      <xdr:col>2</xdr:col>
      <xdr:colOff>38100</xdr:colOff>
      <xdr:row>3</xdr:row>
      <xdr:rowOff>9525</xdr:rowOff>
    </xdr:from>
    <xdr:to>
      <xdr:col>2</xdr:col>
      <xdr:colOff>361950</xdr:colOff>
      <xdr:row>4</xdr:row>
      <xdr:rowOff>142875</xdr:rowOff>
    </xdr:to>
    <xdr:pic>
      <xdr:nvPicPr>
        <xdr:cNvPr id="26" name="Graphic 25" descr="Receiver with solid fill">
          <a:extLst>
            <a:ext uri="{FF2B5EF4-FFF2-40B4-BE49-F238E27FC236}">
              <a16:creationId xmlns:a16="http://schemas.microsoft.com/office/drawing/2014/main" id="{378164C6-6A00-4C7C-839A-3F05A2FCC2A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4325" y="581025"/>
          <a:ext cx="323850" cy="323850"/>
        </a:xfrm>
        <a:prstGeom prst="rect">
          <a:avLst/>
        </a:prstGeom>
      </xdr:spPr>
    </xdr:pic>
    <xdr:clientData/>
  </xdr:twoCellAnchor>
  <xdr:twoCellAnchor>
    <xdr:from>
      <xdr:col>2</xdr:col>
      <xdr:colOff>285750</xdr:colOff>
      <xdr:row>6</xdr:row>
      <xdr:rowOff>104775</xdr:rowOff>
    </xdr:from>
    <xdr:to>
      <xdr:col>3</xdr:col>
      <xdr:colOff>457200</xdr:colOff>
      <xdr:row>7</xdr:row>
      <xdr:rowOff>85725</xdr:rowOff>
    </xdr:to>
    <xdr:sp macro="" textlink="pivots!A9">
      <xdr:nvSpPr>
        <xdr:cNvPr id="27" name="TextBox 26">
          <a:extLst>
            <a:ext uri="{FF2B5EF4-FFF2-40B4-BE49-F238E27FC236}">
              <a16:creationId xmlns:a16="http://schemas.microsoft.com/office/drawing/2014/main" id="{1CA3628E-26A7-493B-AB2C-45AE7511BA11}"/>
            </a:ext>
          </a:extLst>
        </xdr:cNvPr>
        <xdr:cNvSpPr txBox="1"/>
      </xdr:nvSpPr>
      <xdr:spPr>
        <a:xfrm>
          <a:off x="561975" y="1247775"/>
          <a:ext cx="857250" cy="17145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447BD-F2BA-42EF-8364-39CC137712E0}" type="TxLink">
            <a:rPr lang="en-US" sz="1200" b="1" i="0" u="none" strike="noStrike">
              <a:ln>
                <a:noFill/>
              </a:ln>
              <a:solidFill>
                <a:schemeClr val="tx1"/>
              </a:solidFill>
              <a:latin typeface="Aptos"/>
            </a:rPr>
            <a:pPr algn="ctr"/>
            <a:t>189</a:t>
          </a:fld>
          <a:endParaRPr lang="en-IN" sz="1200" b="1">
            <a:ln>
              <a:noFill/>
            </a:ln>
            <a:solidFill>
              <a:schemeClr val="tx1"/>
            </a:solidFill>
          </a:endParaRPr>
        </a:p>
      </xdr:txBody>
    </xdr:sp>
    <xdr:clientData/>
  </xdr:twoCellAnchor>
  <xdr:twoCellAnchor editAs="oneCell">
    <xdr:from>
      <xdr:col>12</xdr:col>
      <xdr:colOff>323850</xdr:colOff>
      <xdr:row>18</xdr:row>
      <xdr:rowOff>57150</xdr:rowOff>
    </xdr:from>
    <xdr:to>
      <xdr:col>15</xdr:col>
      <xdr:colOff>95250</xdr:colOff>
      <xdr:row>27</xdr:row>
      <xdr:rowOff>133350</xdr:rowOff>
    </xdr:to>
    <mc:AlternateContent xmlns:mc="http://schemas.openxmlformats.org/markup-compatibility/2006" xmlns:a14="http://schemas.microsoft.com/office/drawing/2010/main">
      <mc:Choice Requires="a14">
        <xdr:graphicFrame macro="">
          <xdr:nvGraphicFramePr>
            <xdr:cNvPr id="28" name="Representative">
              <a:extLst>
                <a:ext uri="{FF2B5EF4-FFF2-40B4-BE49-F238E27FC236}">
                  <a16:creationId xmlns:a16="http://schemas.microsoft.com/office/drawing/2014/main" id="{872A79AA-3776-4B0E-9354-1FFA3CDC832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381875" y="3714750"/>
              <a:ext cx="1828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123825</xdr:colOff>
      <xdr:row>2</xdr:row>
      <xdr:rowOff>123825</xdr:rowOff>
    </xdr:from>
    <xdr:to>
      <xdr:col>10</xdr:col>
      <xdr:colOff>581025</xdr:colOff>
      <xdr:row>17</xdr:row>
      <xdr:rowOff>9525</xdr:rowOff>
    </xdr:to>
    <xdr:graphicFrame macro="">
      <xdr:nvGraphicFramePr>
        <xdr:cNvPr id="29" name="Chart 28">
          <a:extLst>
            <a:ext uri="{FF2B5EF4-FFF2-40B4-BE49-F238E27FC236}">
              <a16:creationId xmlns:a16="http://schemas.microsoft.com/office/drawing/2014/main" id="{82D290F2-D9AB-4E5A-9CF1-D7509EA0A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19051</xdr:colOff>
      <xdr:row>2</xdr:row>
      <xdr:rowOff>126423</xdr:rowOff>
    </xdr:from>
    <xdr:to>
      <xdr:col>14</xdr:col>
      <xdr:colOff>323850</xdr:colOff>
      <xdr:row>17</xdr:row>
      <xdr:rowOff>2598</xdr:rowOff>
    </xdr:to>
    <xdr:graphicFrame macro="">
      <xdr:nvGraphicFramePr>
        <xdr:cNvPr id="30" name="Chart 29">
          <a:extLst>
            <a:ext uri="{FF2B5EF4-FFF2-40B4-BE49-F238E27FC236}">
              <a16:creationId xmlns:a16="http://schemas.microsoft.com/office/drawing/2014/main" id="{08FF4617-5409-4890-9607-0F6D7C9D3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133350</xdr:colOff>
      <xdr:row>17</xdr:row>
      <xdr:rowOff>161925</xdr:rowOff>
    </xdr:from>
    <xdr:to>
      <xdr:col>12</xdr:col>
      <xdr:colOff>295275</xdr:colOff>
      <xdr:row>33</xdr:row>
      <xdr:rowOff>9525</xdr:rowOff>
    </xdr:to>
    <xdr:sp macro="" textlink="">
      <xdr:nvSpPr>
        <xdr:cNvPr id="35" name="Rectangle 34">
          <a:extLst>
            <a:ext uri="{FF2B5EF4-FFF2-40B4-BE49-F238E27FC236}">
              <a16:creationId xmlns:a16="http://schemas.microsoft.com/office/drawing/2014/main" id="{3FBD6B52-4A31-D261-CFED-C2D776DF1B8B}"/>
            </a:ext>
          </a:extLst>
        </xdr:cNvPr>
        <xdr:cNvSpPr/>
      </xdr:nvSpPr>
      <xdr:spPr>
        <a:xfrm>
          <a:off x="1781175" y="3400425"/>
          <a:ext cx="5648325" cy="2895600"/>
        </a:xfrm>
        <a:prstGeom prst="rect">
          <a:avLst/>
        </a:prstGeom>
        <a:ln>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152400</xdr:colOff>
      <xdr:row>18</xdr:row>
      <xdr:rowOff>28575</xdr:rowOff>
    </xdr:from>
    <xdr:to>
      <xdr:col>8</xdr:col>
      <xdr:colOff>71438</xdr:colOff>
      <xdr:row>32</xdr:row>
      <xdr:rowOff>104775</xdr:rowOff>
    </xdr:to>
    <xdr:graphicFrame macro="">
      <xdr:nvGraphicFramePr>
        <xdr:cNvPr id="33" name="Chart 32">
          <a:extLst>
            <a:ext uri="{FF2B5EF4-FFF2-40B4-BE49-F238E27FC236}">
              <a16:creationId xmlns:a16="http://schemas.microsoft.com/office/drawing/2014/main" id="{EA0D6704-A83F-4E9C-AE8A-601A69CAD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76200</xdr:colOff>
      <xdr:row>18</xdr:row>
      <xdr:rowOff>23813</xdr:rowOff>
    </xdr:from>
    <xdr:to>
      <xdr:col>12</xdr:col>
      <xdr:colOff>147638</xdr:colOff>
      <xdr:row>32</xdr:row>
      <xdr:rowOff>123825</xdr:rowOff>
    </xdr:to>
    <xdr:graphicFrame macro="">
      <xdr:nvGraphicFramePr>
        <xdr:cNvPr id="34" name="Chart 33">
          <a:extLst>
            <a:ext uri="{FF2B5EF4-FFF2-40B4-BE49-F238E27FC236}">
              <a16:creationId xmlns:a16="http://schemas.microsoft.com/office/drawing/2014/main" id="{D531376D-ED7A-4E57-8816-BD09088E3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428625</xdr:colOff>
      <xdr:row>2</xdr:row>
      <xdr:rowOff>133350</xdr:rowOff>
    </xdr:from>
    <xdr:to>
      <xdr:col>19</xdr:col>
      <xdr:colOff>133350</xdr:colOff>
      <xdr:row>17</xdr:row>
      <xdr:rowOff>0</xdr:rowOff>
    </xdr:to>
    <xdr:graphicFrame macro="">
      <xdr:nvGraphicFramePr>
        <xdr:cNvPr id="36" name="Chart 35">
          <a:extLst>
            <a:ext uri="{FF2B5EF4-FFF2-40B4-BE49-F238E27FC236}">
              <a16:creationId xmlns:a16="http://schemas.microsoft.com/office/drawing/2014/main" id="{F702A112-0187-44A4-B611-38D254101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200025</xdr:colOff>
      <xdr:row>2</xdr:row>
      <xdr:rowOff>114300</xdr:rowOff>
    </xdr:from>
    <xdr:to>
      <xdr:col>24</xdr:col>
      <xdr:colOff>285750</xdr:colOff>
      <xdr:row>16</xdr:row>
      <xdr:rowOff>171450</xdr:rowOff>
    </xdr:to>
    <xdr:graphicFrame macro="">
      <xdr:nvGraphicFramePr>
        <xdr:cNvPr id="37" name="Chart 36">
          <a:extLst>
            <a:ext uri="{FF2B5EF4-FFF2-40B4-BE49-F238E27FC236}">
              <a16:creationId xmlns:a16="http://schemas.microsoft.com/office/drawing/2014/main" id="{F0B72775-D0BC-4FF8-97C6-11A97AFD4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13.564913541668" backgroundQuery="1" createdVersion="8" refreshedVersion="8" minRefreshableVersion="3" recordCount="0" supportSubquery="1" supportAdvancedDrill="1" xr:uid="{F86EFFDD-98A8-4AAA-A865-57EDF0112DF5}">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13.520030439817" backgroundQuery="1" createdVersion="8" refreshedVersion="8" minRefreshableVersion="3" recordCount="0" supportSubquery="1" supportAdvancedDrill="1" xr:uid="{D61542DC-BE9B-43CD-A0C5-388A57DABD45}">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13.497583680553" backgroundQuery="1" createdVersion="8" refreshedVersion="8" minRefreshableVersion="3" recordCount="0" supportSubquery="1" supportAdvancedDrill="1" xr:uid="{E27D061A-B3E2-4063-80E8-2C416ABC95D9}">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 Calls]" caption="5 * Calls"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13.620762384257" backgroundQuery="1" createdVersion="8" refreshedVersion="8" minRefreshableVersion="3" recordCount="0" supportSubquery="1" supportAdvancedDrill="1" xr:uid="{F2228CF9-E4BA-421C-AA16-ABD1C721C883}">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5973.252010995369" backgroundQuery="1" createdVersion="8" refreshedVersion="8" minRefreshableVersion="3" recordCount="0" supportSubquery="1" supportAdvancedDrill="1" xr:uid="{27544191-47A3-4E38-B248-B55F2186E3B4}">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 Calls]" caption="5 * Calls"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5973.252011458331" backgroundQuery="1" createdVersion="8" refreshedVersion="8" minRefreshableVersion="3" recordCount="0" supportSubquery="1" supportAdvancedDrill="1" xr:uid="{6F1A27C0-E4C2-4CA0-95E2-7B5DC103C56E}">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5973.252012037039" backgroundQuery="1" createdVersion="8" refreshedVersion="8" minRefreshableVersion="3" recordCount="0" supportSubquery="1" supportAdvancedDrill="1" xr:uid="{D1ED5D25-A196-4210-B9AF-0AD83EC217E8}">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5973.252012384262" backgroundQuery="1" createdVersion="8" refreshedVersion="8" minRefreshableVersion="3" recordCount="0" supportSubquery="1" supportAdvancedDrill="1" xr:uid="{ADC77CA6-D420-44E3-9859-B5679AE1ED22}">
  <cacheSource type="external" connectionId="1"/>
  <cacheFields count="1">
    <cacheField name="[calls].[Representative].[Representative]" caption="Representative" numFmtId="0" hierarchy="3" level="1">
      <sharedItems count="1">
        <s v="R01"/>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5973.252012731478" backgroundQuery="1" createdVersion="8" refreshedVersion="8" minRefreshableVersion="3" recordCount="0" supportSubquery="1" supportAdvancedDrill="1" xr:uid="{231715D8-F717-43B5-8910-FD57613D486B}">
  <cacheSource type="external" connectionId="1"/>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13.497574074077" backgroundQuery="1" createdVersion="3" refreshedVersion="8" minRefreshableVersion="3" recordCount="0" supportSubquery="1" supportAdvancedDrill="1" xr:uid="{0FABD1E0-8A48-43A7-978B-D00E519F8387}">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6493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75EA6A-6FAB-42D6-B0BF-3431991B6BB5}"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C5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EE4736-6BBA-400D-8EC9-5D921926CCEC}" name="Week day trend"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L18:M26"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1"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DFCDED-BD41-40C5-A554-523F4B27F515}"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8">
  <location ref="A82:G10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BDC8AB-862E-45A0-8E6E-44865AB10683}" name="rep Satisfaction"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8">
  <location ref="A75:G77" firstHeaderRow="1" firstDataRow="2" firstDataCol="1"/>
  <pivotFields count="3">
    <pivotField dataField="1" subtotalTop="0" showAll="0" defaultSubtotal="0"/>
    <pivotField allDrilled="1" subtotalTop="0" showAll="0" dataSourceSort="1" defaultSubtotal="0" defaultAttributeDrillState="1"/>
    <pivotField axis="axisCol" allDrilled="1" subtotalTop="0" showAll="0" dataSourceSort="1" defaultSubtotal="0" defaultAttributeDrillState="1">
      <items count="5">
        <item x="0"/>
        <item x="1"/>
        <item x="2"/>
        <item x="3"/>
        <item x="4"/>
      </items>
    </pivotField>
  </pivotFields>
  <rowItems count="1">
    <i/>
  </rowItems>
  <colFields count="1">
    <field x="2"/>
  </colFields>
  <colItems count="6">
    <i>
      <x/>
    </i>
    <i>
      <x v="1"/>
    </i>
    <i>
      <x v="2"/>
    </i>
    <i>
      <x v="3"/>
    </i>
    <i>
      <x v="4"/>
    </i>
    <i t="grand">
      <x/>
    </i>
  </colItems>
  <dataFields count="1">
    <dataField fld="0" subtotal="count" baseField="0" baseItem="0"/>
  </dataFields>
  <chartFormats count="6">
    <chartFormat chart="33" format="2" series="1">
      <pivotArea type="data" outline="0" fieldPosition="0">
        <references count="1">
          <reference field="4294967294" count="1" selected="0">
            <x v="0"/>
          </reference>
        </references>
      </pivotArea>
    </chartFormat>
    <chartFormat chart="33" format="3" series="1">
      <pivotArea type="data" outline="0" fieldPosition="0">
        <references count="2">
          <reference field="4294967294" count="1" selected="0">
            <x v="0"/>
          </reference>
          <reference field="2" count="1" selected="0">
            <x v="1"/>
          </reference>
        </references>
      </pivotArea>
    </chartFormat>
    <chartFormat chart="33" format="4" series="1">
      <pivotArea type="data" outline="0" fieldPosition="0">
        <references count="2">
          <reference field="4294967294" count="1" selected="0">
            <x v="0"/>
          </reference>
          <reference field="2" count="1" selected="0">
            <x v="2"/>
          </reference>
        </references>
      </pivotArea>
    </chartFormat>
    <chartFormat chart="33" format="5" series="1">
      <pivotArea type="data" outline="0" fieldPosition="0">
        <references count="2">
          <reference field="4294967294" count="1" selected="0">
            <x v="0"/>
          </reference>
          <reference field="2" count="1" selected="0">
            <x v="3"/>
          </reference>
        </references>
      </pivotArea>
    </chartFormat>
    <chartFormat chart="33" format="6" series="1">
      <pivotArea type="data" outline="0" fieldPosition="0">
        <references count="2">
          <reference field="4294967294" count="1" selected="0">
            <x v="0"/>
          </reference>
          <reference field="2" count="1" selected="0">
            <x v="4"/>
          </reference>
        </references>
      </pivotArea>
    </chartFormat>
    <chartFormat chart="33" format="7" series="1">
      <pivotArea type="data" outline="0" fieldPosition="0">
        <references count="2">
          <reference field="4294967294" count="1" selected="0">
            <x v="0"/>
          </reference>
          <reference field="2"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279448-B460-4123-82FE-4E2EA04579F6}" name="Monthly trend"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8:C31"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ED65C5-EE55-45B0-8F28-1531852C4987}" name="PivotTable8"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68:D7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7">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2">
          <reference field="4294967294" count="1" selected="0">
            <x v="0"/>
          </reference>
          <reference field="0" count="1" selected="0">
            <x v="2"/>
          </reference>
        </references>
      </pivotArea>
    </chartFormat>
    <chartFormat chart="5" format="7" series="1">
      <pivotArea type="data" outline="0" fieldPosition="0">
        <references count="2">
          <reference field="4294967294" count="1" selected="0">
            <x v="0"/>
          </reference>
          <reference field="0" count="1" selected="0">
            <x v="0"/>
          </reference>
        </references>
      </pivotArea>
    </chartFormat>
    <chartFormat chart="5" format="8" series="1">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3">
          <reference field="4294967294" count="1" selected="0">
            <x v="0"/>
          </reference>
          <reference field="0" count="1" selected="0">
            <x v="1"/>
          </reference>
          <reference field="1" count="1" selected="0">
            <x v="1"/>
          </reference>
        </references>
      </pivotArea>
    </chartFormat>
    <chartFormat chart="5" format="10">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308E84-1F2A-475D-90D0-F9579EBF37E1}" name="rep"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8420C4-16F4-4511-933C-C76E3CD5A5A3}" name="Summe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A5E00A-3E24-4BEC-AB5C-8FD3432F6262}" name="selected rep pivot"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9:A6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2">
    <format dxfId="22">
      <pivotArea dataOnly="0" labelOnly="1" fieldPosition="0">
        <references count="1">
          <reference field="0" count="0"/>
        </references>
      </pivotArea>
    </format>
    <format dxfId="21">
      <pivotArea dataOnly="0" labelOnly="1" fieldPosition="0">
        <references count="1">
          <reference field="0" count="0"/>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5E51A89-104D-49B2-9D20-6A4721D6BB9A}" sourceName="[calls].[Representative]">
  <pivotTables>
    <pivotTable tabId="6" name="rep"/>
    <pivotTable tabId="6" name="Monthly trend"/>
    <pivotTable tabId="6" name="Week day trend"/>
    <pivotTable tabId="6" name="selected rep pivot"/>
    <pivotTable tabId="6" name="rep Satisfaction"/>
  </pivotTables>
  <data>
    <olap pivotCacheId="8764934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76B3CEB-C9D2-4A92-9BF2-2425D626BC85}" cache="Slicer_Representative" caption="Representative" level="1"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4" headerRowBorderDxfId="13" tableBorderDxfId="12" totalsRowBorderDxfId="11">
  <autoFilter ref="Q3:T18" xr:uid="{27158F51-A707-4171-8A04-81FB0AABCBA5}"/>
  <tableColumns count="4">
    <tableColumn id="1" xr3:uid="{02688061-6A8C-4E23-B7FF-D00CD8B58CAC}" name="Customer ID" dataDxfId="10"/>
    <tableColumn id="2" xr3:uid="{771678B6-DB44-426B-9874-B4E421A440D5}" name="Gedn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B262-1103-4DEF-847F-862F85FF3AA3}">
  <dimension ref="A1:AC42"/>
  <sheetViews>
    <sheetView showGridLines="0" tabSelected="1" zoomScaleNormal="100" workbookViewId="0">
      <selection activeCell="K1" sqref="K1"/>
    </sheetView>
  </sheetViews>
  <sheetFormatPr defaultRowHeight="15" x14ac:dyDescent="0.25"/>
  <cols>
    <col min="1" max="1" width="1.5" customWidth="1"/>
    <col min="2" max="2" width="1.125" customWidth="1"/>
    <col min="17" max="17" width="10.375" bestFit="1" customWidth="1"/>
    <col min="18" max="23" width="10.625" bestFit="1" customWidth="1"/>
  </cols>
  <sheetData>
    <row r="1" spans="1:29" ht="33" customHeight="1" x14ac:dyDescent="0.5">
      <c r="A1" s="20"/>
      <c r="B1" s="20"/>
      <c r="C1" s="20"/>
      <c r="D1" s="36" t="s">
        <v>1081</v>
      </c>
      <c r="E1" s="37"/>
      <c r="F1" s="37"/>
      <c r="G1" s="37"/>
      <c r="H1" s="37"/>
      <c r="I1" s="37"/>
      <c r="J1" s="20"/>
      <c r="K1" s="20"/>
      <c r="L1" s="20"/>
      <c r="M1" s="20"/>
      <c r="N1" s="20"/>
      <c r="O1" s="20"/>
      <c r="P1" s="20"/>
      <c r="Q1" s="20"/>
      <c r="R1" s="20"/>
      <c r="S1" s="20"/>
      <c r="T1" s="20"/>
      <c r="U1" s="20"/>
      <c r="V1" s="20"/>
      <c r="W1" s="20"/>
      <c r="X1" s="20"/>
      <c r="Y1" s="20"/>
      <c r="Z1" s="20"/>
      <c r="AA1" s="20"/>
      <c r="AB1" s="20"/>
      <c r="AC1" s="20"/>
    </row>
    <row r="2" spans="1:29"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row>
    <row r="3" spans="1:29"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row>
    <row r="4" spans="1:29"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row>
    <row r="5" spans="1:29"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row>
    <row r="6" spans="1:29"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row>
    <row r="7" spans="1:29"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row>
    <row r="8" spans="1:29"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row>
    <row r="9" spans="1:29"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row>
    <row r="10" spans="1:29"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row>
    <row r="11" spans="1:29"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row>
    <row r="12" spans="1:29"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row>
    <row r="13" spans="1:29"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spans="1:29"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row>
    <row r="15" spans="1:29"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row>
    <row r="16" spans="1:29"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row>
    <row r="17" spans="1:29"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row>
    <row r="18" spans="1:29"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row>
    <row r="19" spans="1:29" x14ac:dyDescent="0.25">
      <c r="A19" s="20"/>
      <c r="B19" s="20"/>
      <c r="C19" s="20"/>
      <c r="D19" s="20"/>
      <c r="E19" s="20"/>
      <c r="F19" s="20"/>
      <c r="G19" s="20"/>
      <c r="H19" s="20"/>
      <c r="I19" s="20"/>
      <c r="J19" s="20"/>
      <c r="K19" s="20"/>
      <c r="L19" s="20"/>
      <c r="M19" s="20"/>
      <c r="N19" s="20"/>
      <c r="O19" s="20"/>
      <c r="P19" s="20"/>
      <c r="Q19" s="20"/>
      <c r="R19" s="14" t="str" cm="1">
        <f t="array" ref="R19:W19">pivots!B83:G83</f>
        <v>R01</v>
      </c>
      <c r="S19" s="14" t="str">
        <v>R02</v>
      </c>
      <c r="T19" s="14" t="str">
        <v>R03</v>
      </c>
      <c r="U19" s="14" t="str">
        <v>R04</v>
      </c>
      <c r="V19" s="14" t="str">
        <v>R05</v>
      </c>
      <c r="W19" s="14" t="str">
        <v>Grand Total</v>
      </c>
      <c r="X19" s="20"/>
      <c r="Y19" s="20"/>
      <c r="Z19" s="20"/>
      <c r="AA19" s="20"/>
      <c r="AB19" s="20"/>
      <c r="AC19" s="20"/>
    </row>
    <row r="20" spans="1:29" ht="15.75" x14ac:dyDescent="0.25">
      <c r="A20" s="20"/>
      <c r="B20" s="20"/>
      <c r="C20" s="20"/>
      <c r="D20" s="20"/>
      <c r="E20" s="20"/>
      <c r="F20" s="20"/>
      <c r="G20" s="20"/>
      <c r="H20" s="20"/>
      <c r="I20" s="20"/>
      <c r="J20" s="20"/>
      <c r="K20" s="20"/>
      <c r="L20" s="20"/>
      <c r="M20" s="20"/>
      <c r="N20" s="20"/>
      <c r="O20" s="20"/>
      <c r="P20" s="20"/>
      <c r="Q20" s="32" t="str" cm="1">
        <f t="array" ref="Q20:W37">IF(pivots!A84:G101="","",pivots!A84:G101)</f>
        <v>Cincinnati</v>
      </c>
      <c r="R20" s="29" t="str">
        <v/>
      </c>
      <c r="S20" s="29" t="str">
        <v/>
      </c>
      <c r="T20" s="29" t="str">
        <v/>
      </c>
      <c r="U20" s="29" t="str">
        <v/>
      </c>
      <c r="V20" s="29" t="str">
        <v/>
      </c>
      <c r="W20" s="29" t="str">
        <v/>
      </c>
      <c r="X20" s="20"/>
      <c r="Y20" s="20"/>
      <c r="Z20" s="20"/>
      <c r="AA20" s="20"/>
      <c r="AB20" s="20"/>
      <c r="AC20" s="20"/>
    </row>
    <row r="21" spans="1:29" ht="15.75" x14ac:dyDescent="0.25">
      <c r="A21" s="20"/>
      <c r="B21" s="20"/>
      <c r="C21" s="20"/>
      <c r="D21" s="20"/>
      <c r="E21" s="20"/>
      <c r="F21" s="20"/>
      <c r="G21" s="20"/>
      <c r="H21" s="20"/>
      <c r="I21" s="20"/>
      <c r="J21" s="20"/>
      <c r="K21" s="20"/>
      <c r="L21" s="20"/>
      <c r="M21" s="20"/>
      <c r="N21" s="20"/>
      <c r="O21" s="20"/>
      <c r="P21" s="20"/>
      <c r="Q21" s="30" t="str">
        <v>C0003</v>
      </c>
      <c r="R21" s="31">
        <v>891</v>
      </c>
      <c r="S21" s="31">
        <v>1332</v>
      </c>
      <c r="T21" s="31">
        <v>1282</v>
      </c>
      <c r="U21" s="31">
        <v>739</v>
      </c>
      <c r="V21" s="31">
        <v>560</v>
      </c>
      <c r="W21" s="31">
        <v>4804</v>
      </c>
      <c r="X21" s="20"/>
      <c r="Y21" s="20"/>
      <c r="Z21" s="20"/>
      <c r="AA21" s="20"/>
      <c r="AB21" s="20"/>
      <c r="AC21" s="20"/>
    </row>
    <row r="22" spans="1:29" ht="15.75" x14ac:dyDescent="0.25">
      <c r="A22" s="20"/>
      <c r="B22" s="20"/>
      <c r="C22" s="20"/>
      <c r="D22" s="20"/>
      <c r="E22" s="20"/>
      <c r="F22" s="20"/>
      <c r="G22" s="20"/>
      <c r="H22" s="20"/>
      <c r="I22" s="20"/>
      <c r="J22" s="20"/>
      <c r="K22" s="20"/>
      <c r="L22" s="20"/>
      <c r="M22" s="20"/>
      <c r="N22" s="20"/>
      <c r="O22" s="20"/>
      <c r="P22" s="20"/>
      <c r="Q22" s="30" t="str">
        <v>C0004</v>
      </c>
      <c r="R22" s="31">
        <v>1991</v>
      </c>
      <c r="S22" s="31">
        <v>1886</v>
      </c>
      <c r="T22" s="31">
        <v>1206</v>
      </c>
      <c r="U22" s="31">
        <v>884</v>
      </c>
      <c r="V22" s="31">
        <v>1722</v>
      </c>
      <c r="W22" s="31">
        <v>7689</v>
      </c>
      <c r="X22" s="20"/>
      <c r="Y22" s="20"/>
      <c r="Z22" s="20"/>
      <c r="AA22" s="20"/>
      <c r="AB22" s="20"/>
      <c r="AC22" s="20"/>
    </row>
    <row r="23" spans="1:29" ht="15.75" x14ac:dyDescent="0.25">
      <c r="A23" s="20"/>
      <c r="B23" s="20"/>
      <c r="C23" s="20"/>
      <c r="D23" s="20"/>
      <c r="E23" s="20"/>
      <c r="F23" s="20"/>
      <c r="G23" s="20"/>
      <c r="H23" s="20"/>
      <c r="I23" s="20"/>
      <c r="J23" s="20"/>
      <c r="K23" s="20"/>
      <c r="L23" s="20"/>
      <c r="M23" s="20"/>
      <c r="N23" s="20"/>
      <c r="O23" s="20"/>
      <c r="P23" s="20"/>
      <c r="Q23" s="30" t="str">
        <v>C0011</v>
      </c>
      <c r="R23" s="31">
        <v>1163</v>
      </c>
      <c r="S23" s="31">
        <v>1180</v>
      </c>
      <c r="T23" s="31">
        <v>1616</v>
      </c>
      <c r="U23" s="31">
        <v>1043</v>
      </c>
      <c r="V23" s="31">
        <v>1747</v>
      </c>
      <c r="W23" s="31">
        <v>6749</v>
      </c>
      <c r="X23" s="20"/>
      <c r="Y23" s="20"/>
      <c r="Z23" s="20"/>
      <c r="AA23" s="20"/>
      <c r="AB23" s="20"/>
      <c r="AC23" s="20"/>
    </row>
    <row r="24" spans="1:29" ht="15.75" x14ac:dyDescent="0.25">
      <c r="A24" s="20"/>
      <c r="B24" s="20"/>
      <c r="C24" s="20"/>
      <c r="D24" s="20"/>
      <c r="E24" s="20"/>
      <c r="F24" s="20"/>
      <c r="G24" s="20"/>
      <c r="H24" s="20"/>
      <c r="I24" s="20"/>
      <c r="J24" s="20"/>
      <c r="K24" s="20"/>
      <c r="L24" s="20"/>
      <c r="M24" s="20"/>
      <c r="N24" s="20"/>
      <c r="O24" s="20"/>
      <c r="P24" s="20"/>
      <c r="Q24" s="30" t="str">
        <v>C0012</v>
      </c>
      <c r="R24" s="31">
        <v>1438</v>
      </c>
      <c r="S24" s="31">
        <v>1616</v>
      </c>
      <c r="T24" s="31">
        <v>866</v>
      </c>
      <c r="U24" s="31">
        <v>829</v>
      </c>
      <c r="V24" s="31">
        <v>2070</v>
      </c>
      <c r="W24" s="31">
        <v>6819</v>
      </c>
      <c r="X24" s="20"/>
      <c r="Y24" s="20"/>
      <c r="Z24" s="20"/>
      <c r="AA24" s="20"/>
      <c r="AB24" s="20"/>
      <c r="AC24" s="20"/>
    </row>
    <row r="25" spans="1:29" ht="15.75" x14ac:dyDescent="0.25">
      <c r="A25" s="20"/>
      <c r="B25" s="20"/>
      <c r="C25" s="20"/>
      <c r="D25" s="20"/>
      <c r="E25" s="20"/>
      <c r="F25" s="20"/>
      <c r="G25" s="20"/>
      <c r="H25" s="20"/>
      <c r="I25" s="20"/>
      <c r="J25" s="20"/>
      <c r="K25" s="20"/>
      <c r="L25" s="20"/>
      <c r="M25" s="20"/>
      <c r="N25" s="20"/>
      <c r="O25" s="20"/>
      <c r="P25" s="20"/>
      <c r="Q25" s="32" t="str">
        <v>Cleveland</v>
      </c>
      <c r="R25" s="31" t="str">
        <v/>
      </c>
      <c r="S25" s="31" t="str">
        <v/>
      </c>
      <c r="T25" s="31" t="str">
        <v/>
      </c>
      <c r="U25" s="31" t="str">
        <v/>
      </c>
      <c r="V25" s="31" t="str">
        <v/>
      </c>
      <c r="W25" s="31" t="str">
        <v/>
      </c>
      <c r="X25" s="20"/>
      <c r="Y25" s="20"/>
      <c r="Z25" s="20"/>
      <c r="AA25" s="20"/>
      <c r="AB25" s="20"/>
      <c r="AC25" s="20"/>
    </row>
    <row r="26" spans="1:29" ht="15.75" x14ac:dyDescent="0.25">
      <c r="A26" s="20"/>
      <c r="B26" s="20"/>
      <c r="C26" s="20"/>
      <c r="D26" s="20"/>
      <c r="E26" s="20"/>
      <c r="F26" s="20"/>
      <c r="G26" s="20"/>
      <c r="H26" s="20"/>
      <c r="I26" s="20"/>
      <c r="J26" s="20"/>
      <c r="K26" s="20"/>
      <c r="L26" s="20"/>
      <c r="M26" s="20"/>
      <c r="N26" s="20"/>
      <c r="O26" s="20"/>
      <c r="P26" s="20"/>
      <c r="Q26" s="30" t="str">
        <v>C0002</v>
      </c>
      <c r="R26" s="31">
        <v>1233</v>
      </c>
      <c r="S26" s="31">
        <v>223</v>
      </c>
      <c r="T26" s="31">
        <v>1680</v>
      </c>
      <c r="U26" s="31">
        <v>990</v>
      </c>
      <c r="V26" s="31">
        <v>1508</v>
      </c>
      <c r="W26" s="31">
        <v>5634</v>
      </c>
      <c r="X26" s="20"/>
      <c r="Y26" s="20"/>
      <c r="Z26" s="20"/>
      <c r="AA26" s="20"/>
      <c r="AB26" s="20"/>
      <c r="AC26" s="20"/>
    </row>
    <row r="27" spans="1:29" ht="15.75" x14ac:dyDescent="0.25">
      <c r="A27" s="20"/>
      <c r="B27" s="20"/>
      <c r="C27" s="20"/>
      <c r="D27" s="20"/>
      <c r="E27" s="20"/>
      <c r="F27" s="20"/>
      <c r="G27" s="20"/>
      <c r="H27" s="20"/>
      <c r="I27" s="20"/>
      <c r="J27" s="20"/>
      <c r="K27" s="20"/>
      <c r="L27" s="20"/>
      <c r="M27" s="20"/>
      <c r="N27" s="20"/>
      <c r="O27" s="20"/>
      <c r="P27" s="20"/>
      <c r="Q27" s="30" t="str">
        <v>C0007</v>
      </c>
      <c r="R27" s="31">
        <v>1598</v>
      </c>
      <c r="S27" s="31">
        <v>1907</v>
      </c>
      <c r="T27" s="31">
        <v>869</v>
      </c>
      <c r="U27" s="31">
        <v>1426</v>
      </c>
      <c r="V27" s="31">
        <v>1416</v>
      </c>
      <c r="W27" s="31">
        <v>7216</v>
      </c>
      <c r="X27" s="20"/>
      <c r="Y27" s="20"/>
      <c r="Z27" s="20"/>
      <c r="AA27" s="20"/>
      <c r="AB27" s="20"/>
      <c r="AC27" s="20"/>
    </row>
    <row r="28" spans="1:29" ht="15.75" x14ac:dyDescent="0.25">
      <c r="A28" s="20"/>
      <c r="B28" s="20"/>
      <c r="C28" s="20"/>
      <c r="D28" s="20"/>
      <c r="E28" s="20"/>
      <c r="F28" s="20"/>
      <c r="G28" s="20"/>
      <c r="H28" s="20"/>
      <c r="I28" s="20"/>
      <c r="J28" s="20"/>
      <c r="K28" s="20"/>
      <c r="L28" s="20"/>
      <c r="M28" s="20"/>
      <c r="N28" s="20"/>
      <c r="O28" s="20"/>
      <c r="P28" s="20"/>
      <c r="Q28" s="30" t="str">
        <v>C0008</v>
      </c>
      <c r="R28" s="31">
        <v>900</v>
      </c>
      <c r="S28" s="31">
        <v>1016</v>
      </c>
      <c r="T28" s="31">
        <v>960</v>
      </c>
      <c r="U28" s="31">
        <v>940</v>
      </c>
      <c r="V28" s="31">
        <v>1193</v>
      </c>
      <c r="W28" s="31">
        <v>5009</v>
      </c>
      <c r="X28" s="20"/>
      <c r="Y28" s="20"/>
      <c r="Z28" s="20"/>
      <c r="AA28" s="20"/>
      <c r="AB28" s="20"/>
      <c r="AC28" s="20"/>
    </row>
    <row r="29" spans="1:29" ht="15.75" x14ac:dyDescent="0.25">
      <c r="A29" s="20"/>
      <c r="B29" s="20"/>
      <c r="C29" s="20"/>
      <c r="D29" s="20"/>
      <c r="E29" s="20"/>
      <c r="F29" s="20"/>
      <c r="G29" s="20"/>
      <c r="H29" s="20"/>
      <c r="I29" s="20"/>
      <c r="J29" s="20"/>
      <c r="K29" s="20"/>
      <c r="L29" s="20"/>
      <c r="M29" s="20"/>
      <c r="N29" s="20"/>
      <c r="O29" s="20"/>
      <c r="P29" s="20"/>
      <c r="Q29" s="30" t="str">
        <v>C0010</v>
      </c>
      <c r="R29" s="31">
        <v>900</v>
      </c>
      <c r="S29" s="31">
        <v>1470</v>
      </c>
      <c r="T29" s="31">
        <v>1617</v>
      </c>
      <c r="U29" s="31">
        <v>1314</v>
      </c>
      <c r="V29" s="31">
        <v>941</v>
      </c>
      <c r="W29" s="31">
        <v>6242</v>
      </c>
      <c r="X29" s="20"/>
      <c r="Y29" s="20"/>
      <c r="Z29" s="20"/>
      <c r="AA29" s="20"/>
      <c r="AB29" s="20"/>
      <c r="AC29" s="20"/>
    </row>
    <row r="30" spans="1:29" ht="21" x14ac:dyDescent="0.35">
      <c r="A30" s="20"/>
      <c r="B30" s="20"/>
      <c r="C30" s="20"/>
      <c r="D30" s="20"/>
      <c r="E30" s="20"/>
      <c r="F30" s="20"/>
      <c r="G30" s="20"/>
      <c r="H30" s="20"/>
      <c r="I30" s="20"/>
      <c r="J30" s="20"/>
      <c r="K30" s="20"/>
      <c r="L30" s="20"/>
      <c r="M30" s="20"/>
      <c r="N30" s="34" t="str">
        <f>pivots!B123</f>
        <v>% of calls:19%</v>
      </c>
      <c r="O30" s="34"/>
      <c r="P30" s="35"/>
      <c r="Q30" s="30" t="str">
        <v>C0013</v>
      </c>
      <c r="R30" s="31">
        <v>1255</v>
      </c>
      <c r="S30" s="31">
        <v>516</v>
      </c>
      <c r="T30" s="31">
        <v>1874</v>
      </c>
      <c r="U30" s="31">
        <v>1863</v>
      </c>
      <c r="V30" s="31">
        <v>1722</v>
      </c>
      <c r="W30" s="31">
        <v>7230</v>
      </c>
      <c r="X30" s="20"/>
      <c r="Y30" s="20"/>
      <c r="Z30" s="20"/>
      <c r="AA30" s="20"/>
      <c r="AB30" s="20"/>
      <c r="AC30" s="20"/>
    </row>
    <row r="31" spans="1:29" ht="21" x14ac:dyDescent="0.35">
      <c r="A31" s="20"/>
      <c r="B31" s="20"/>
      <c r="C31" s="20"/>
      <c r="D31" s="20"/>
      <c r="E31" s="20"/>
      <c r="F31" s="20"/>
      <c r="G31" s="20"/>
      <c r="H31" s="20"/>
      <c r="I31" s="20"/>
      <c r="J31" s="20"/>
      <c r="K31" s="20"/>
      <c r="L31" s="20"/>
      <c r="M31" s="20"/>
      <c r="N31" s="34" t="str">
        <f>pivots!B124</f>
        <v>Call rank:4</v>
      </c>
      <c r="O31" s="34"/>
      <c r="P31" s="35"/>
      <c r="Q31" s="30" t="str">
        <v>C0015</v>
      </c>
      <c r="R31" s="31">
        <v>1138</v>
      </c>
      <c r="S31" s="31">
        <v>1898</v>
      </c>
      <c r="T31" s="31">
        <v>1482</v>
      </c>
      <c r="U31" s="31">
        <v>846</v>
      </c>
      <c r="V31" s="31">
        <v>1154</v>
      </c>
      <c r="W31" s="31">
        <v>6518</v>
      </c>
      <c r="X31" s="20"/>
      <c r="Y31" s="20"/>
      <c r="Z31" s="20"/>
      <c r="AA31" s="20"/>
      <c r="AB31" s="20"/>
      <c r="AC31" s="20"/>
    </row>
    <row r="32" spans="1:29" ht="21" x14ac:dyDescent="0.35">
      <c r="A32" s="20"/>
      <c r="B32" s="20"/>
      <c r="C32" s="20"/>
      <c r="D32" s="20"/>
      <c r="E32" s="20"/>
      <c r="F32" s="20"/>
      <c r="G32" s="20"/>
      <c r="H32" s="20"/>
      <c r="I32" s="20"/>
      <c r="J32" s="20"/>
      <c r="K32" s="20"/>
      <c r="L32" s="20"/>
      <c r="M32" s="20"/>
      <c r="N32" s="34" t="str">
        <f>pivots!B125</f>
        <v>Amount rank:4</v>
      </c>
      <c r="O32" s="34"/>
      <c r="P32" s="35"/>
      <c r="Q32" s="32" t="str">
        <v>Columbus</v>
      </c>
      <c r="R32" s="31" t="str">
        <v/>
      </c>
      <c r="S32" s="31" t="str">
        <v/>
      </c>
      <c r="T32" s="31" t="str">
        <v/>
      </c>
      <c r="U32" s="31" t="str">
        <v/>
      </c>
      <c r="V32" s="31" t="str">
        <v/>
      </c>
      <c r="W32" s="31" t="str">
        <v/>
      </c>
      <c r="X32" s="20"/>
      <c r="Y32" s="20"/>
      <c r="Z32" s="20"/>
      <c r="AA32" s="20"/>
      <c r="AB32" s="20"/>
      <c r="AC32" s="20"/>
    </row>
    <row r="33" spans="1:29" ht="15.75" x14ac:dyDescent="0.25">
      <c r="A33" s="20"/>
      <c r="B33" s="20"/>
      <c r="C33" s="20"/>
      <c r="D33" s="20"/>
      <c r="E33" s="20"/>
      <c r="F33" s="20"/>
      <c r="G33" s="20"/>
      <c r="H33" s="20"/>
      <c r="I33" s="20"/>
      <c r="J33" s="20"/>
      <c r="K33" s="20"/>
      <c r="L33" s="20"/>
      <c r="M33" s="20"/>
      <c r="N33" s="20"/>
      <c r="O33" s="20"/>
      <c r="P33" s="20"/>
      <c r="Q33" s="30" t="str">
        <v>C0001</v>
      </c>
      <c r="R33" s="31">
        <v>1655</v>
      </c>
      <c r="S33" s="31">
        <v>805</v>
      </c>
      <c r="T33" s="31">
        <v>2263</v>
      </c>
      <c r="U33" s="31">
        <v>987</v>
      </c>
      <c r="V33" s="31">
        <v>1075</v>
      </c>
      <c r="W33" s="31">
        <v>6785</v>
      </c>
      <c r="X33" s="20"/>
      <c r="Y33" s="20"/>
      <c r="Z33" s="20"/>
      <c r="AA33" s="20"/>
      <c r="AB33" s="20"/>
      <c r="AC33" s="20"/>
    </row>
    <row r="34" spans="1:29" ht="15.75" x14ac:dyDescent="0.25">
      <c r="A34" s="20"/>
      <c r="B34" s="20"/>
      <c r="C34" s="20"/>
      <c r="D34" s="20"/>
      <c r="E34" s="20"/>
      <c r="F34" s="20"/>
      <c r="G34" s="20"/>
      <c r="H34" s="20"/>
      <c r="I34" s="20"/>
      <c r="J34" s="20"/>
      <c r="K34" s="20"/>
      <c r="L34" s="20"/>
      <c r="M34" s="20"/>
      <c r="N34" s="20"/>
      <c r="O34" s="20"/>
      <c r="P34" s="20"/>
      <c r="Q34" s="30" t="str">
        <v>C0005</v>
      </c>
      <c r="R34" s="31">
        <v>1104</v>
      </c>
      <c r="S34" s="31">
        <v>2280</v>
      </c>
      <c r="T34" s="31">
        <v>1445</v>
      </c>
      <c r="U34" s="31">
        <v>1722</v>
      </c>
      <c r="V34" s="31">
        <v>1196</v>
      </c>
      <c r="W34" s="31">
        <v>7747</v>
      </c>
      <c r="X34" s="20"/>
      <c r="Y34" s="20"/>
      <c r="Z34" s="20"/>
      <c r="AA34" s="20"/>
      <c r="AB34" s="20"/>
      <c r="AC34" s="20"/>
    </row>
    <row r="35" spans="1:29" ht="15.75" x14ac:dyDescent="0.25">
      <c r="A35" s="20"/>
      <c r="B35" s="20"/>
      <c r="C35" s="20"/>
      <c r="D35" s="20"/>
      <c r="E35" s="20"/>
      <c r="F35" s="20"/>
      <c r="G35" s="20"/>
      <c r="H35" s="20"/>
      <c r="I35" s="20"/>
      <c r="J35" s="20"/>
      <c r="K35" s="20"/>
      <c r="L35" s="20"/>
      <c r="M35" s="20"/>
      <c r="N35" s="20"/>
      <c r="O35" s="20"/>
      <c r="P35" s="20"/>
      <c r="Q35" s="30" t="str">
        <v>C0006</v>
      </c>
      <c r="R35" s="31">
        <v>372</v>
      </c>
      <c r="S35" s="31">
        <v>1818</v>
      </c>
      <c r="T35" s="31">
        <v>1346</v>
      </c>
      <c r="U35" s="31">
        <v>1156</v>
      </c>
      <c r="V35" s="31">
        <v>1484</v>
      </c>
      <c r="W35" s="31">
        <v>6176</v>
      </c>
      <c r="X35" s="20"/>
      <c r="Y35" s="20"/>
      <c r="Z35" s="20"/>
      <c r="AA35" s="20"/>
      <c r="AB35" s="20"/>
      <c r="AC35" s="20"/>
    </row>
    <row r="36" spans="1:29" ht="15.75" x14ac:dyDescent="0.25">
      <c r="A36" s="20"/>
      <c r="B36" s="20"/>
      <c r="C36" s="20"/>
      <c r="D36" s="20"/>
      <c r="E36" s="20"/>
      <c r="F36" s="20"/>
      <c r="G36" s="20"/>
      <c r="H36" s="20"/>
      <c r="I36" s="20"/>
      <c r="J36" s="20"/>
      <c r="K36" s="20"/>
      <c r="L36" s="20"/>
      <c r="M36" s="20"/>
      <c r="N36" s="20"/>
      <c r="O36" s="20"/>
      <c r="P36" s="20"/>
      <c r="Q36" s="30" t="str">
        <v>C0009</v>
      </c>
      <c r="R36" s="31">
        <v>1415</v>
      </c>
      <c r="S36" s="31">
        <v>1271</v>
      </c>
      <c r="T36" s="31">
        <v>1214</v>
      </c>
      <c r="U36" s="31">
        <v>1135</v>
      </c>
      <c r="V36" s="31">
        <v>1566</v>
      </c>
      <c r="W36" s="31">
        <v>6601</v>
      </c>
      <c r="X36" s="20"/>
      <c r="Y36" s="20"/>
      <c r="Z36" s="20"/>
      <c r="AA36" s="20"/>
      <c r="AB36" s="20"/>
      <c r="AC36" s="20"/>
    </row>
    <row r="37" spans="1:29" ht="15.75" x14ac:dyDescent="0.25">
      <c r="A37" s="20"/>
      <c r="B37" s="20"/>
      <c r="C37" s="20"/>
      <c r="D37" s="20"/>
      <c r="E37" s="20"/>
      <c r="F37" s="20"/>
      <c r="G37" s="20"/>
      <c r="H37" s="20"/>
      <c r="I37" s="20"/>
      <c r="J37" s="20"/>
      <c r="K37" s="20"/>
      <c r="L37" s="20"/>
      <c r="M37" s="20"/>
      <c r="N37" s="20"/>
      <c r="O37" s="20"/>
      <c r="P37" s="20"/>
      <c r="Q37" s="30" t="str">
        <v>C0014</v>
      </c>
      <c r="R37" s="31">
        <v>1362</v>
      </c>
      <c r="S37" s="31">
        <v>1363</v>
      </c>
      <c r="T37" s="31">
        <v>1152</v>
      </c>
      <c r="U37" s="31">
        <v>777</v>
      </c>
      <c r="V37" s="31">
        <v>750</v>
      </c>
      <c r="W37" s="31">
        <v>5404</v>
      </c>
      <c r="X37" s="20"/>
      <c r="Y37" s="20"/>
      <c r="Z37" s="20"/>
      <c r="AA37" s="20"/>
      <c r="AB37" s="20"/>
      <c r="AC37" s="20"/>
    </row>
    <row r="38" spans="1:29"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spans="1:29"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spans="1:29"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sheetData>
  <conditionalFormatting sqref="R21:V37">
    <cfRule type="dataBar" priority="4">
      <dataBar>
        <cfvo type="min"/>
        <cfvo type="max"/>
        <color rgb="FF008AEF"/>
      </dataBar>
      <extLst>
        <ext xmlns:x14="http://schemas.microsoft.com/office/spreadsheetml/2009/9/main" uri="{B025F937-C7B1-47D3-B67F-A62EFF666E3E}">
          <x14:id>{2B80717F-1446-46EE-ACA9-29F5020D26BA}</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1F7F6341-1877-4A7D-8018-96278352106C}">
            <xm:f>$R19:$R37=pivots!$A$60</xm:f>
            <x14:dxf>
              <fill>
                <patternFill>
                  <bgColor theme="7" tint="0.59996337778862885"/>
                </patternFill>
              </fill>
            </x14:dxf>
          </x14:cfRule>
          <xm:sqref>R19:V37</xm:sqref>
        </x14:conditionalFormatting>
        <x14:conditionalFormatting xmlns:xm="http://schemas.microsoft.com/office/excel/2006/main">
          <x14:cfRule type="expression" priority="2" id="{3E7903B2-6D84-499C-9119-CC5863A3C62D}">
            <xm:f>$R20=pivots!$A$60</xm:f>
            <x14:dxf>
              <fill>
                <patternFill>
                  <bgColor theme="7" tint="0.39994506668294322"/>
                </patternFill>
              </fill>
            </x14:dxf>
          </x14:cfRule>
          <x14:cfRule type="expression" priority="3" id="{76AF9428-33AE-44D3-8A99-D9720CB72D67}">
            <xm:f>$R20=pivots!$A$60</xm:f>
            <x14:dxf>
              <fill>
                <patternFill>
                  <bgColor theme="7" tint="0.59996337778862885"/>
                </patternFill>
              </fill>
              <border>
                <vertical/>
                <horizontal/>
              </border>
            </x14:dxf>
          </x14:cfRule>
          <xm:sqref>R20:V37</xm:sqref>
        </x14:conditionalFormatting>
        <x14:conditionalFormatting xmlns:xm="http://schemas.microsoft.com/office/excel/2006/main">
          <x14:cfRule type="dataBar" id="{2B80717F-1446-46EE-ACA9-29F5020D26BA}">
            <x14:dataBar minLength="0" maxLength="100" gradient="0">
              <x14:cfvo type="autoMin"/>
              <x14:cfvo type="autoMax"/>
              <x14:negativeFillColor rgb="FFFF0000"/>
              <x14:axisColor rgb="FF000000"/>
            </x14:dataBar>
          </x14:cfRule>
          <xm:sqref>R21:V37</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2B496-E4EF-4CF9-BB2B-58DE438E0595}">
  <dimension ref="A3:M125"/>
  <sheetViews>
    <sheetView workbookViewId="0">
      <selection activeCell="F20" sqref="F20:F21"/>
    </sheetView>
  </sheetViews>
  <sheetFormatPr defaultRowHeight="15" x14ac:dyDescent="0.25"/>
  <cols>
    <col min="1" max="1" width="9.625" bestFit="1" customWidth="1"/>
    <col min="2" max="2" width="15.875" bestFit="1" customWidth="1"/>
    <col min="3" max="3" width="1.875" bestFit="1" customWidth="1"/>
    <col min="4" max="6" width="2.875" bestFit="1" customWidth="1"/>
    <col min="7" max="8" width="10.875" bestFit="1" customWidth="1"/>
    <col min="9" max="9" width="10.625" bestFit="1" customWidth="1"/>
    <col min="10" max="10" width="4.125" bestFit="1" customWidth="1"/>
    <col min="11" max="11" width="3.875" bestFit="1" customWidth="1"/>
    <col min="12" max="12" width="12.625" bestFit="1" customWidth="1"/>
    <col min="13" max="13" width="9.625" bestFit="1" customWidth="1"/>
    <col min="14" max="14" width="10.625" bestFit="1" customWidth="1"/>
    <col min="15" max="330" width="15.875" bestFit="1" customWidth="1"/>
    <col min="331" max="331" width="10.875" bestFit="1" customWidth="1"/>
  </cols>
  <sheetData>
    <row r="3" spans="1:5" x14ac:dyDescent="0.25">
      <c r="A3" t="s">
        <v>1042</v>
      </c>
      <c r="B3" t="s">
        <v>1043</v>
      </c>
      <c r="C3" t="s">
        <v>1044</v>
      </c>
      <c r="D3" t="s">
        <v>1045</v>
      </c>
      <c r="E3" t="s">
        <v>1046</v>
      </c>
    </row>
    <row r="4" spans="1:5" x14ac:dyDescent="0.25">
      <c r="A4" s="21">
        <v>1000</v>
      </c>
      <c r="B4" s="22">
        <v>96623</v>
      </c>
      <c r="C4" s="21">
        <v>89850</v>
      </c>
      <c r="D4" s="23">
        <v>3.8854000000000033</v>
      </c>
      <c r="E4" s="21">
        <v>307</v>
      </c>
    </row>
    <row r="8" spans="1:5" x14ac:dyDescent="0.25">
      <c r="A8" t="s">
        <v>1042</v>
      </c>
      <c r="B8" t="s">
        <v>1043</v>
      </c>
      <c r="C8" t="s">
        <v>1044</v>
      </c>
      <c r="D8" t="s">
        <v>1045</v>
      </c>
      <c r="E8" t="s">
        <v>1046</v>
      </c>
    </row>
    <row r="9" spans="1:5" x14ac:dyDescent="0.25">
      <c r="A9" s="21">
        <v>189</v>
      </c>
      <c r="B9" s="38">
        <v>18415</v>
      </c>
      <c r="C9" s="21">
        <v>16834</v>
      </c>
      <c r="D9" s="23">
        <v>3.9227513227513247</v>
      </c>
      <c r="E9" s="21">
        <v>60</v>
      </c>
    </row>
    <row r="18" spans="1:13" x14ac:dyDescent="0.25">
      <c r="A18" s="24" t="s">
        <v>1061</v>
      </c>
      <c r="B18" t="s">
        <v>1042</v>
      </c>
      <c r="C18" t="s">
        <v>1062</v>
      </c>
      <c r="L18" s="24" t="s">
        <v>1061</v>
      </c>
      <c r="M18" t="s">
        <v>1042</v>
      </c>
    </row>
    <row r="19" spans="1:13" x14ac:dyDescent="0.25">
      <c r="A19" s="25" t="s">
        <v>1049</v>
      </c>
      <c r="B19" s="21">
        <v>16</v>
      </c>
      <c r="C19" s="21">
        <v>16</v>
      </c>
      <c r="L19" s="25" t="s">
        <v>1064</v>
      </c>
      <c r="M19" s="21">
        <v>30</v>
      </c>
    </row>
    <row r="20" spans="1:13" x14ac:dyDescent="0.25">
      <c r="A20" s="25" t="s">
        <v>1050</v>
      </c>
      <c r="B20" s="21">
        <v>14</v>
      </c>
      <c r="C20" s="21">
        <v>14</v>
      </c>
      <c r="L20" s="25" t="s">
        <v>1068</v>
      </c>
      <c r="M20" s="21">
        <v>13</v>
      </c>
    </row>
    <row r="21" spans="1:13" x14ac:dyDescent="0.25">
      <c r="A21" s="25" t="s">
        <v>1051</v>
      </c>
      <c r="B21" s="21">
        <v>26</v>
      </c>
      <c r="C21" s="21">
        <v>26</v>
      </c>
      <c r="L21" s="25" t="s">
        <v>1069</v>
      </c>
      <c r="M21" s="21">
        <v>23</v>
      </c>
    </row>
    <row r="22" spans="1:13" x14ac:dyDescent="0.25">
      <c r="A22" s="25" t="s">
        <v>1052</v>
      </c>
      <c r="B22" s="21">
        <v>29</v>
      </c>
      <c r="C22" s="21">
        <v>29</v>
      </c>
      <c r="L22" s="25" t="s">
        <v>1067</v>
      </c>
      <c r="M22" s="21">
        <v>23</v>
      </c>
    </row>
    <row r="23" spans="1:13" x14ac:dyDescent="0.25">
      <c r="A23" s="25" t="s">
        <v>1053</v>
      </c>
      <c r="B23" s="21">
        <v>17</v>
      </c>
      <c r="C23" s="21">
        <v>17</v>
      </c>
      <c r="L23" s="25" t="s">
        <v>1063</v>
      </c>
      <c r="M23" s="21">
        <v>24</v>
      </c>
    </row>
    <row r="24" spans="1:13" x14ac:dyDescent="0.25">
      <c r="A24" s="25" t="s">
        <v>1054</v>
      </c>
      <c r="B24" s="21">
        <v>15</v>
      </c>
      <c r="C24" s="21">
        <v>15</v>
      </c>
      <c r="L24" s="25" t="s">
        <v>1065</v>
      </c>
      <c r="M24" s="21">
        <v>40</v>
      </c>
    </row>
    <row r="25" spans="1:13" x14ac:dyDescent="0.25">
      <c r="A25" s="25" t="s">
        <v>1055</v>
      </c>
      <c r="B25" s="21">
        <v>15</v>
      </c>
      <c r="C25" s="21">
        <v>15</v>
      </c>
      <c r="L25" s="25" t="s">
        <v>1066</v>
      </c>
      <c r="M25" s="21">
        <v>36</v>
      </c>
    </row>
    <row r="26" spans="1:13" x14ac:dyDescent="0.25">
      <c r="A26" s="25" t="s">
        <v>1056</v>
      </c>
      <c r="B26" s="21">
        <v>7</v>
      </c>
      <c r="C26" s="21">
        <v>7</v>
      </c>
      <c r="L26" s="25" t="s">
        <v>1048</v>
      </c>
      <c r="M26" s="21">
        <v>189</v>
      </c>
    </row>
    <row r="27" spans="1:13" x14ac:dyDescent="0.25">
      <c r="A27" s="25" t="s">
        <v>1057</v>
      </c>
      <c r="B27" s="21">
        <v>11</v>
      </c>
      <c r="C27" s="21">
        <v>11</v>
      </c>
    </row>
    <row r="28" spans="1:13" x14ac:dyDescent="0.25">
      <c r="A28" s="25" t="s">
        <v>1058</v>
      </c>
      <c r="B28" s="21">
        <v>24</v>
      </c>
      <c r="C28" s="21">
        <v>24</v>
      </c>
    </row>
    <row r="29" spans="1:13" x14ac:dyDescent="0.25">
      <c r="A29" s="25" t="s">
        <v>1059</v>
      </c>
      <c r="B29" s="21">
        <v>9</v>
      </c>
      <c r="C29" s="21">
        <v>9</v>
      </c>
    </row>
    <row r="30" spans="1:13" x14ac:dyDescent="0.25">
      <c r="A30" s="25" t="s">
        <v>1060</v>
      </c>
      <c r="B30" s="21">
        <v>6</v>
      </c>
      <c r="C30" s="21">
        <v>6</v>
      </c>
    </row>
    <row r="31" spans="1:13" x14ac:dyDescent="0.25">
      <c r="A31" s="25" t="s">
        <v>1048</v>
      </c>
      <c r="B31" s="21">
        <v>189</v>
      </c>
      <c r="C31" s="21">
        <v>189</v>
      </c>
    </row>
    <row r="42" spans="1:9" x14ac:dyDescent="0.25">
      <c r="G42" t="s">
        <v>1076</v>
      </c>
      <c r="H42" t="str">
        <f>A60</f>
        <v>R01</v>
      </c>
    </row>
    <row r="43" spans="1:9" x14ac:dyDescent="0.25">
      <c r="E43" t="s">
        <v>1070</v>
      </c>
    </row>
    <row r="44" spans="1:9" x14ac:dyDescent="0.25">
      <c r="A44" s="24" t="s">
        <v>1061</v>
      </c>
      <c r="B44" t="s">
        <v>1042</v>
      </c>
      <c r="C44" t="s">
        <v>1043</v>
      </c>
      <c r="E44" t="s">
        <v>1071</v>
      </c>
      <c r="F44" t="s">
        <v>1072</v>
      </c>
      <c r="G44" t="s">
        <v>1073</v>
      </c>
      <c r="H44" t="s">
        <v>1074</v>
      </c>
      <c r="I44" t="s">
        <v>1075</v>
      </c>
    </row>
    <row r="45" spans="1:9" x14ac:dyDescent="0.25">
      <c r="A45" s="25" t="s">
        <v>11</v>
      </c>
      <c r="B45" s="21">
        <v>189</v>
      </c>
      <c r="C45" s="22">
        <v>18415</v>
      </c>
      <c r="E45" t="str" cm="1">
        <f t="array" ref="E45:G49">A45:C49</f>
        <v>R01</v>
      </c>
      <c r="F45">
        <v>189</v>
      </c>
      <c r="G45" s="27">
        <v>18415</v>
      </c>
      <c r="H45">
        <f>IF(E45=$H$42,F45,NA())</f>
        <v>189</v>
      </c>
      <c r="I45">
        <f>IF(E45=$H$42,G45,NA())</f>
        <v>18415</v>
      </c>
    </row>
    <row r="46" spans="1:9" x14ac:dyDescent="0.25">
      <c r="A46" s="25" t="s">
        <v>9</v>
      </c>
      <c r="B46" s="21">
        <v>218</v>
      </c>
      <c r="C46" s="22">
        <v>20581</v>
      </c>
      <c r="E46" t="str">
        <v>R02</v>
      </c>
      <c r="F46">
        <v>218</v>
      </c>
      <c r="G46" s="27">
        <v>20581</v>
      </c>
      <c r="H46" t="e">
        <f t="shared" ref="H46:H49" si="0">IF(E46=$H$42,F46,NA())</f>
        <v>#N/A</v>
      </c>
      <c r="I46" t="e">
        <f t="shared" ref="I46:I49" si="1">IF(E46=$H$42,G46,NA())</f>
        <v>#N/A</v>
      </c>
    </row>
    <row r="47" spans="1:9" x14ac:dyDescent="0.25">
      <c r="A47" s="25" t="s">
        <v>6</v>
      </c>
      <c r="B47" s="21">
        <v>207</v>
      </c>
      <c r="C47" s="22">
        <v>20872</v>
      </c>
      <c r="E47" t="str">
        <v>R03</v>
      </c>
      <c r="F47">
        <v>207</v>
      </c>
      <c r="G47" s="27">
        <v>20872</v>
      </c>
      <c r="H47" t="e">
        <f t="shared" si="0"/>
        <v>#N/A</v>
      </c>
      <c r="I47" t="e">
        <f t="shared" si="1"/>
        <v>#N/A</v>
      </c>
    </row>
    <row r="48" spans="1:9" x14ac:dyDescent="0.25">
      <c r="A48" s="25" t="s">
        <v>13</v>
      </c>
      <c r="B48" s="21">
        <v>186</v>
      </c>
      <c r="C48" s="22">
        <v>16651</v>
      </c>
      <c r="E48" t="str">
        <v>R04</v>
      </c>
      <c r="F48">
        <v>186</v>
      </c>
      <c r="G48" s="27">
        <v>16651</v>
      </c>
      <c r="H48" t="e">
        <f t="shared" si="0"/>
        <v>#N/A</v>
      </c>
      <c r="I48" t="e">
        <f t="shared" si="1"/>
        <v>#N/A</v>
      </c>
    </row>
    <row r="49" spans="1:9" x14ac:dyDescent="0.25">
      <c r="A49" s="25" t="s">
        <v>10</v>
      </c>
      <c r="B49" s="21">
        <v>200</v>
      </c>
      <c r="C49" s="22">
        <v>20104</v>
      </c>
      <c r="E49" t="str">
        <v>R05</v>
      </c>
      <c r="F49">
        <v>200</v>
      </c>
      <c r="G49" s="27">
        <v>20104</v>
      </c>
      <c r="H49" t="e">
        <f t="shared" si="0"/>
        <v>#N/A</v>
      </c>
      <c r="I49" t="e">
        <f t="shared" si="1"/>
        <v>#N/A</v>
      </c>
    </row>
    <row r="50" spans="1:9" x14ac:dyDescent="0.25">
      <c r="A50" s="25" t="s">
        <v>1048</v>
      </c>
      <c r="B50" s="21">
        <v>1000</v>
      </c>
      <c r="C50" s="22">
        <v>96623</v>
      </c>
    </row>
    <row r="59" spans="1:9" x14ac:dyDescent="0.25">
      <c r="A59" s="24" t="s">
        <v>1061</v>
      </c>
    </row>
    <row r="60" spans="1:9" x14ac:dyDescent="0.25">
      <c r="A60" s="28" t="s">
        <v>11</v>
      </c>
    </row>
    <row r="61" spans="1:9" x14ac:dyDescent="0.25">
      <c r="A61" s="25" t="s">
        <v>1048</v>
      </c>
    </row>
    <row r="68" spans="1:7" x14ac:dyDescent="0.25">
      <c r="A68" s="24" t="s">
        <v>1042</v>
      </c>
      <c r="B68" s="24" t="s">
        <v>1047</v>
      </c>
    </row>
    <row r="69" spans="1:7" x14ac:dyDescent="0.25">
      <c r="A69" s="24" t="s">
        <v>1061</v>
      </c>
      <c r="B69" t="s">
        <v>999</v>
      </c>
      <c r="C69" t="s">
        <v>998</v>
      </c>
      <c r="D69" t="s">
        <v>1048</v>
      </c>
    </row>
    <row r="70" spans="1:7" x14ac:dyDescent="0.25">
      <c r="A70" s="25" t="s">
        <v>1002</v>
      </c>
      <c r="B70" s="21">
        <v>144</v>
      </c>
      <c r="C70" s="21">
        <v>132</v>
      </c>
      <c r="D70" s="21">
        <v>276</v>
      </c>
    </row>
    <row r="71" spans="1:7" x14ac:dyDescent="0.25">
      <c r="A71" s="25" t="s">
        <v>1001</v>
      </c>
      <c r="B71" s="21">
        <v>326</v>
      </c>
      <c r="C71" s="21">
        <v>63</v>
      </c>
      <c r="D71" s="21">
        <v>389</v>
      </c>
    </row>
    <row r="72" spans="1:7" x14ac:dyDescent="0.25">
      <c r="A72" s="25" t="s">
        <v>1000</v>
      </c>
      <c r="B72" s="21">
        <v>129</v>
      </c>
      <c r="C72" s="21">
        <v>206</v>
      </c>
      <c r="D72" s="21">
        <v>335</v>
      </c>
    </row>
    <row r="73" spans="1:7" x14ac:dyDescent="0.25">
      <c r="A73" s="25" t="s">
        <v>1048</v>
      </c>
      <c r="B73" s="21">
        <v>599</v>
      </c>
      <c r="C73" s="21">
        <v>401</v>
      </c>
      <c r="D73" s="21">
        <v>1000</v>
      </c>
    </row>
    <row r="75" spans="1:7" x14ac:dyDescent="0.25">
      <c r="B75" s="24" t="s">
        <v>1047</v>
      </c>
    </row>
    <row r="76" spans="1:7" x14ac:dyDescent="0.25">
      <c r="B76">
        <v>1</v>
      </c>
      <c r="C76">
        <v>2</v>
      </c>
      <c r="D76">
        <v>3</v>
      </c>
      <c r="E76">
        <v>4</v>
      </c>
      <c r="F76">
        <v>5</v>
      </c>
      <c r="G76" t="s">
        <v>1048</v>
      </c>
    </row>
    <row r="77" spans="1:7" x14ac:dyDescent="0.25">
      <c r="A77" t="s">
        <v>1042</v>
      </c>
      <c r="B77" s="21">
        <v>1</v>
      </c>
      <c r="C77" s="21">
        <v>9</v>
      </c>
      <c r="D77" s="21">
        <v>31</v>
      </c>
      <c r="E77" s="21">
        <v>88</v>
      </c>
      <c r="F77" s="21">
        <v>60</v>
      </c>
      <c r="G77" s="21">
        <v>189</v>
      </c>
    </row>
    <row r="82" spans="1:7" x14ac:dyDescent="0.25">
      <c r="A82" s="24" t="s">
        <v>1043</v>
      </c>
      <c r="B82" s="24" t="s">
        <v>1047</v>
      </c>
    </row>
    <row r="83" spans="1:7" x14ac:dyDescent="0.25">
      <c r="A83" s="24" t="s">
        <v>1061</v>
      </c>
      <c r="B83" t="s">
        <v>11</v>
      </c>
      <c r="C83" t="s">
        <v>9</v>
      </c>
      <c r="D83" t="s">
        <v>6</v>
      </c>
      <c r="E83" t="s">
        <v>13</v>
      </c>
      <c r="F83" t="s">
        <v>10</v>
      </c>
      <c r="G83" t="s">
        <v>1048</v>
      </c>
    </row>
    <row r="84" spans="1:7" x14ac:dyDescent="0.25">
      <c r="A84" s="25" t="s">
        <v>1002</v>
      </c>
    </row>
    <row r="85" spans="1:7" x14ac:dyDescent="0.25">
      <c r="A85" s="26" t="s">
        <v>20</v>
      </c>
      <c r="B85" s="22">
        <v>891</v>
      </c>
      <c r="C85" s="22">
        <v>1332</v>
      </c>
      <c r="D85" s="22">
        <v>1282</v>
      </c>
      <c r="E85" s="22">
        <v>739</v>
      </c>
      <c r="F85" s="22">
        <v>560</v>
      </c>
      <c r="G85" s="22">
        <v>4804</v>
      </c>
    </row>
    <row r="86" spans="1:7" x14ac:dyDescent="0.25">
      <c r="A86" s="26" t="s">
        <v>12</v>
      </c>
      <c r="B86" s="22">
        <v>1991</v>
      </c>
      <c r="C86" s="22">
        <v>1886</v>
      </c>
      <c r="D86" s="22">
        <v>1206</v>
      </c>
      <c r="E86" s="22">
        <v>884</v>
      </c>
      <c r="F86" s="22">
        <v>1722</v>
      </c>
      <c r="G86" s="22">
        <v>7689</v>
      </c>
    </row>
    <row r="87" spans="1:7" x14ac:dyDescent="0.25">
      <c r="A87" s="26" t="s">
        <v>8</v>
      </c>
      <c r="B87" s="22">
        <v>1163</v>
      </c>
      <c r="C87" s="22">
        <v>1180</v>
      </c>
      <c r="D87" s="22">
        <v>1616</v>
      </c>
      <c r="E87" s="22">
        <v>1043</v>
      </c>
      <c r="F87" s="22">
        <v>1747</v>
      </c>
      <c r="G87" s="22">
        <v>6749</v>
      </c>
    </row>
    <row r="88" spans="1:7" x14ac:dyDescent="0.25">
      <c r="A88" s="26" t="s">
        <v>16</v>
      </c>
      <c r="B88" s="22">
        <v>1438</v>
      </c>
      <c r="C88" s="22">
        <v>1616</v>
      </c>
      <c r="D88" s="22">
        <v>866</v>
      </c>
      <c r="E88" s="22">
        <v>829</v>
      </c>
      <c r="F88" s="22">
        <v>2070</v>
      </c>
      <c r="G88" s="22">
        <v>6819</v>
      </c>
    </row>
    <row r="89" spans="1:7" x14ac:dyDescent="0.25">
      <c r="A89" s="25" t="s">
        <v>1001</v>
      </c>
    </row>
    <row r="90" spans="1:7" x14ac:dyDescent="0.25">
      <c r="A90" s="26" t="s">
        <v>24</v>
      </c>
      <c r="B90" s="22">
        <v>1233</v>
      </c>
      <c r="C90" s="22">
        <v>223</v>
      </c>
      <c r="D90" s="22">
        <v>1680</v>
      </c>
      <c r="E90" s="22">
        <v>990</v>
      </c>
      <c r="F90" s="22">
        <v>1508</v>
      </c>
      <c r="G90" s="22">
        <v>5634</v>
      </c>
    </row>
    <row r="91" spans="1:7" x14ac:dyDescent="0.25">
      <c r="A91" s="26" t="s">
        <v>15</v>
      </c>
      <c r="B91" s="22">
        <v>1598</v>
      </c>
      <c r="C91" s="22">
        <v>1907</v>
      </c>
      <c r="D91" s="22">
        <v>869</v>
      </c>
      <c r="E91" s="22">
        <v>1426</v>
      </c>
      <c r="F91" s="22">
        <v>1416</v>
      </c>
      <c r="G91" s="22">
        <v>7216</v>
      </c>
    </row>
    <row r="92" spans="1:7" x14ac:dyDescent="0.25">
      <c r="A92" s="26" t="s">
        <v>5</v>
      </c>
      <c r="B92" s="22">
        <v>900</v>
      </c>
      <c r="C92" s="22">
        <v>1016</v>
      </c>
      <c r="D92" s="22">
        <v>960</v>
      </c>
      <c r="E92" s="22">
        <v>940</v>
      </c>
      <c r="F92" s="22">
        <v>1193</v>
      </c>
      <c r="G92" s="22">
        <v>5009</v>
      </c>
    </row>
    <row r="93" spans="1:7" x14ac:dyDescent="0.25">
      <c r="A93" s="26" t="s">
        <v>18</v>
      </c>
      <c r="B93" s="22">
        <v>900</v>
      </c>
      <c r="C93" s="22">
        <v>1470</v>
      </c>
      <c r="D93" s="22">
        <v>1617</v>
      </c>
      <c r="E93" s="22">
        <v>1314</v>
      </c>
      <c r="F93" s="22">
        <v>941</v>
      </c>
      <c r="G93" s="22">
        <v>6242</v>
      </c>
    </row>
    <row r="94" spans="1:7" x14ac:dyDescent="0.25">
      <c r="A94" s="26" t="s">
        <v>14</v>
      </c>
      <c r="B94" s="22">
        <v>1255</v>
      </c>
      <c r="C94" s="22">
        <v>516</v>
      </c>
      <c r="D94" s="22">
        <v>1874</v>
      </c>
      <c r="E94" s="22">
        <v>1863</v>
      </c>
      <c r="F94" s="22">
        <v>1722</v>
      </c>
      <c r="G94" s="22">
        <v>7230</v>
      </c>
    </row>
    <row r="95" spans="1:7" x14ac:dyDescent="0.25">
      <c r="A95" s="26" t="s">
        <v>19</v>
      </c>
      <c r="B95" s="22">
        <v>1138</v>
      </c>
      <c r="C95" s="22">
        <v>1898</v>
      </c>
      <c r="D95" s="22">
        <v>1482</v>
      </c>
      <c r="E95" s="22">
        <v>846</v>
      </c>
      <c r="F95" s="22">
        <v>1154</v>
      </c>
      <c r="G95" s="22">
        <v>6518</v>
      </c>
    </row>
    <row r="96" spans="1:7" x14ac:dyDescent="0.25">
      <c r="A96" s="25" t="s">
        <v>1000</v>
      </c>
    </row>
    <row r="97" spans="1:7" x14ac:dyDescent="0.25">
      <c r="A97" s="26" t="s">
        <v>17</v>
      </c>
      <c r="B97" s="22">
        <v>1655</v>
      </c>
      <c r="C97" s="22">
        <v>805</v>
      </c>
      <c r="D97" s="22">
        <v>2263</v>
      </c>
      <c r="E97" s="22">
        <v>987</v>
      </c>
      <c r="F97" s="22">
        <v>1075</v>
      </c>
      <c r="G97" s="22">
        <v>6785</v>
      </c>
    </row>
    <row r="98" spans="1:7" x14ac:dyDescent="0.25">
      <c r="A98" s="26" t="s">
        <v>23</v>
      </c>
      <c r="B98" s="22">
        <v>1104</v>
      </c>
      <c r="C98" s="22">
        <v>2280</v>
      </c>
      <c r="D98" s="22">
        <v>1445</v>
      </c>
      <c r="E98" s="22">
        <v>1722</v>
      </c>
      <c r="F98" s="22">
        <v>1196</v>
      </c>
      <c r="G98" s="22">
        <v>7747</v>
      </c>
    </row>
    <row r="99" spans="1:7" x14ac:dyDescent="0.25">
      <c r="A99" s="26" t="s">
        <v>7</v>
      </c>
      <c r="B99" s="22">
        <v>372</v>
      </c>
      <c r="C99" s="22">
        <v>1818</v>
      </c>
      <c r="D99" s="22">
        <v>1346</v>
      </c>
      <c r="E99" s="22">
        <v>1156</v>
      </c>
      <c r="F99" s="22">
        <v>1484</v>
      </c>
      <c r="G99" s="22">
        <v>6176</v>
      </c>
    </row>
    <row r="100" spans="1:7" x14ac:dyDescent="0.25">
      <c r="A100" s="26" t="s">
        <v>22</v>
      </c>
      <c r="B100" s="22">
        <v>1415</v>
      </c>
      <c r="C100" s="22">
        <v>1271</v>
      </c>
      <c r="D100" s="22">
        <v>1214</v>
      </c>
      <c r="E100" s="22">
        <v>1135</v>
      </c>
      <c r="F100" s="22">
        <v>1566</v>
      </c>
      <c r="G100" s="22">
        <v>6601</v>
      </c>
    </row>
    <row r="101" spans="1:7" x14ac:dyDescent="0.25">
      <c r="A101" s="26" t="s">
        <v>21</v>
      </c>
      <c r="B101" s="22">
        <v>1362</v>
      </c>
      <c r="C101" s="22">
        <v>1363</v>
      </c>
      <c r="D101" s="22">
        <v>1152</v>
      </c>
      <c r="E101" s="22">
        <v>777</v>
      </c>
      <c r="F101" s="22">
        <v>750</v>
      </c>
      <c r="G101" s="22">
        <v>5404</v>
      </c>
    </row>
    <row r="110" spans="1:7" x14ac:dyDescent="0.25">
      <c r="B110" t="s">
        <v>1077</v>
      </c>
    </row>
    <row r="111" spans="1:7" x14ac:dyDescent="0.25">
      <c r="B111" t="s">
        <v>1078</v>
      </c>
    </row>
    <row r="112" spans="1:7" x14ac:dyDescent="0.25">
      <c r="B112" s="33">
        <f>A9/A4</f>
        <v>0.189</v>
      </c>
    </row>
    <row r="113" spans="2:2" x14ac:dyDescent="0.25">
      <c r="B113" t="s">
        <v>1072</v>
      </c>
    </row>
    <row r="114" spans="2:2" x14ac:dyDescent="0.25">
      <c r="B114">
        <f>_xlfn.XLOOKUP(A60,E45:E49,F45:F49)</f>
        <v>189</v>
      </c>
    </row>
    <row r="115" spans="2:2" x14ac:dyDescent="0.25">
      <c r="B115" t="s">
        <v>1073</v>
      </c>
    </row>
    <row r="116" spans="2:2" x14ac:dyDescent="0.25">
      <c r="B116">
        <f>_xlfn.XLOOKUP(A60,E45:E49,G45:G49)</f>
        <v>18415</v>
      </c>
    </row>
    <row r="118" spans="2:2" x14ac:dyDescent="0.25">
      <c r="B118" t="s">
        <v>1079</v>
      </c>
    </row>
    <row r="119" spans="2:2" x14ac:dyDescent="0.25">
      <c r="B119">
        <f>_xlfn.RANK.AVG(B114,F45:F49)</f>
        <v>4</v>
      </c>
    </row>
    <row r="120" spans="2:2" x14ac:dyDescent="0.25">
      <c r="B120" t="s">
        <v>1080</v>
      </c>
    </row>
    <row r="121" spans="2:2" x14ac:dyDescent="0.25">
      <c r="B121">
        <f>_xlfn.RANK.AVG(B116,G45:G49)</f>
        <v>4</v>
      </c>
    </row>
    <row r="123" spans="2:2" x14ac:dyDescent="0.25">
      <c r="B123" t="str">
        <f>"% of calls:"&amp;TEXT(B112,"0%")</f>
        <v>% of calls:19%</v>
      </c>
    </row>
    <row r="124" spans="2:2" x14ac:dyDescent="0.25">
      <c r="B124" t="str">
        <f>"Call rank:"&amp;B119</f>
        <v>Call rank:4</v>
      </c>
    </row>
    <row r="125" spans="2:2" x14ac:dyDescent="0.25">
      <c r="B125" t="str">
        <f>"Amount rank:"&amp;B121</f>
        <v>Amount rank:4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B5" sqref="B5"/>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B19" sqref="B19"/>
    </sheetView>
  </sheetViews>
  <sheetFormatPr defaultRowHeight="15" x14ac:dyDescent="0.25"/>
  <cols>
    <col min="5" max="5" width="10.875" customWidth="1"/>
    <col min="6" max="6" width="11.875" bestFit="1" customWidth="1"/>
  </cols>
  <sheetData>
    <row r="2" spans="5:6" x14ac:dyDescent="0.25">
      <c r="E2" t="s">
        <v>1040</v>
      </c>
      <c r="F2" t="s">
        <v>1041</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center Report</vt:lpstr>
      <vt:lpstr>pivots</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Surendra Surya</cp:lastModifiedBy>
  <dcterms:created xsi:type="dcterms:W3CDTF">2021-03-14T20:21:32Z</dcterms:created>
  <dcterms:modified xsi:type="dcterms:W3CDTF">2025-11-12T11:03:34Z</dcterms:modified>
</cp:coreProperties>
</file>